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<sst xmlns="http://schemas.openxmlformats.org/spreadsheetml/2006/main" count="349" uniqueCount="313">
  <si>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</si>
  <si>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</si>
  <si>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</si>
  <si>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</si>
  <si>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</si>
  <si>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</si>
  <si>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</si>
  <si>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</si>
  <si>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</si>
  <si>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</si>
  <si>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</si>
  <si>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</si>
  <si>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</si>
  <si>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</si>
  <si>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</si>
  <si>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</si>
  <si>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</si>
  <si>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</si>
  <si>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</si>
  <si>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</si>
  <si>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</si>
  <si>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</si>
  <si>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</si>
  <si>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</si>
  <si>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</si>
  <si>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</si>
  <si>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</si>
  <si>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</si>
  <si>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</si>
  <si>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</si>
  <si>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</si>
  <si>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</si>
  <si>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</si>
  <si>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</si>
  <si>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</si>
  <si>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</si>
  <si>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</si>
  <si>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</si>
  <si>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</si>
  <si>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</si>
  <si>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</si>
  <si>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</si>
  <si>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</si>
  <si>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</si>
  <si>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</si>
  <si>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</si>
  <si>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</si>
  <si>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</si>
  <si>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</si>
  <si>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</si>
  <si>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</si>
  <si>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</si>
  <si>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</si>
  <si>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</si>
  <si>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</si>
  <si>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</si>
  <si>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</si>
  <si>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</si>
  <si>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</si>
  <si>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</si>
  <si>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</si>
  <si>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</si>
  <si>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</si>
  <si>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</si>
  <si>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</si>
  <si>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</si>
  <si>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</si>
  <si>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</si>
  <si>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</si>
  <si>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</si>
  <si>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</si>
  <si>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</si>
  <si>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</si>
  <si>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</si>
  <si>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</si>
  <si>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</si>
  <si>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</si>
  <si>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</si>
  <si>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</si>
  <si>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</si>
  <si>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</si>
  <si>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</si>
  <si>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</si>
  <si>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</si>
  <si>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</si>
  <si>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</si>
  <si>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</si>
  <si>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</si>
  <si>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</si>
  <si>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</si>
  <si>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</si>
  <si>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</si>
  <si>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</si>
  <si>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</si>
  <si>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</si>
  <si>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</si>
  <si>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</si>
  <si>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</si>
  <si>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</si>
  <si>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</si>
  <si>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</si>
  <si>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</si>
  <si>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</si>
  <si>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</si>
  <si>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</si>
  <si>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</si>
  <si>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</si>
  <si>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</si>
  <si>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</si>
  <si>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</si>
  <si>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</si>
  <si>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</si>
  <si>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</si>
  <si>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</si>
  <si>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</si>
  <si>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</si>
  <si>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</si>
  <si>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</si>
  <si>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</si>
  <si>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</si>
  <si>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</si>
  <si>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</si>
  <si>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</si>
  <si>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</si>
  <si>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</si>
  <si>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</si>
  <si>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</si>
  <si>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</si>
  <si>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</si>
  <si>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</si>
  <si>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</si>
  <si>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</si>
  <si>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</si>
  <si>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</si>
  <si>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</si>
  <si>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</si>
  <si>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</si>
  <si>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</si>
  <si>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</si>
  <si>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</si>
  <si>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</si>
  <si>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</si>
  <si>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</si>
  <si>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</si>
  <si>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</si>
  <si>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</si>
  <si>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</si>
  <si>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</si>
  <si>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</si>
  <si>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</si>
  <si>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</si>
  <si>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</si>
  <si>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</si>
  <si>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</si>
  <si>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</si>
  <si>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</si>
  <si>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</si>
  <si>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</si>
  <si>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</si>
  <si>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</si>
  <si>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</si>
  <si>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</si>
  <si>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</si>
  <si>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</si>
  <si>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</si>
  <si>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</si>
  <si>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</si>
  <si>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</si>
  <si>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</si>
  <si>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</si>
  <si>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</si>
  <si>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</si>
  <si>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</si>
  <si>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</si>
  <si>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</si>
  <si>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</si>
  <si>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</si>
  <si>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</si>
  <si>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</si>
  <si>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</si>
  <si>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</si>
  <si>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</si>
  <si>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</si>
  <si>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</si>
  <si>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</si>
  <si>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</si>
  <si>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</si>
  <si>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</si>
  <si>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</si>
  <si>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</si>
  <si>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</si>
  <si>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</si>
  <si>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</si>
  <si>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</si>
  <si>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</si>
  <si>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</si>
  <si>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</si>
  <si>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</si>
  <si>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</si>
  <si>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</si>
  <si>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</si>
  <si>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</si>
  <si>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</si>
  <si>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</si>
  <si>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</si>
  <si>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</si>
  <si>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</si>
  <si>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</si>
  <si>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</si>
  <si>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</si>
  <si>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</si>
  <si>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</si>
  <si>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</si>
  <si>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</si>
  <si>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</si>
  <si>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</si>
  <si>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</si>
  <si>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</si>
  <si>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</si>
  <si>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</si>
  <si>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</si>
  <si>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</si>
  <si>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</si>
  <si>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</si>
  <si>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</si>
  <si>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</si>
  <si>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</si>
  <si>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</si>
  <si>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</si>
  <si>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</si>
  <si>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</si>
  <si>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</si>
  <si>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</si>
  <si>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</si>
  <si>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</si>
  <si>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</si>
  <si>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</si>
  <si>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</si>
  <si>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</si>
  <si>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</si>
  <si>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</si>
  <si>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</si>
  <si>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</si>
  <si>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</si>
  <si>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</si>
  <si>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</si>
  <si>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</si>
  <si>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</si>
  <si>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</si>
  <si>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</si>
  <si>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</si>
  <si>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</si>
  <si>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</si>
  <si>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</si>
  <si>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</si>
  <si>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</si>
  <si>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</si>
  <si>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</si>
  <si>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</si>
  <si>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</si>
  <si>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</si>
  <si>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</si>
  <si>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</si>
  <si>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</si>
  <si>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</si>
  <si>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</si>
  <si>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</si>
  <si>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</si>
  <si>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</si>
  <si>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</si>
  <si>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</si>
  <si>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</si>
  <si>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</si>
  <si>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</si>
  <si>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</si>
  <si>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</si>
  <si>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</si>
  <si>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</si>
  <si>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</si>
  <si>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</si>
  <si>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</si>
  <si>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</si>
  <si>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</si>
  <si>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</si>
  <si>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</si>
  <si>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</si>
  <si>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</si>
  <si>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</si>
  <si>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</si>
  <si>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</si>
  <si>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</si>
  <si>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</si>
  <si>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</si>
  <si>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</si>
  <si>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</si>
  <si>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</si>
  <si>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</si>
  <si>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</si>
  <si>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</si>
  <si>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</si>
  <si>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</si>
  <si>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</si>
  <si>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</si>
  <si>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</si>
  <si>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</si>
  <si>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</si>
  <si>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</si>
  <si>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027</t>
  </si>
  <si>
    <t xml:space="preserve">Ashwinram Spinning Mills Private Limited </t>
  </si>
  <si>
    <t>26x34" - 3ply pad</t>
  </si>
  <si>
    <t>6000 NOS</t>
  </si>
  <si>
    <t>12x26" - 3ply pad</t>
  </si>
  <si>
    <t>7000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</si>
</sst>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H19" sqref="H19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45776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308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485/4 , Sangothipalayam Road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Kaniyur Post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33AACCA5004H1ZB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309</v>
      </c>
      <c r="C18" s="54"/>
      <c r="D18" s="54"/>
      <c r="E18" s="54"/>
      <c r="F18" s="55">
        <f>IF(B18="","",VLOOKUP(B18,'[2]Item List'!B1:E600,4))</f>
        <v>481910</v>
      </c>
      <c r="G18" s="75" t="s">
        <v>310</v>
      </c>
      <c r="H18" s="74">
        <f>IF(B18="","",VLOOKUP(B18,'[2]Item List'!B1:E600,2))</f>
        <v>9.7200000000000006</v>
      </c>
      <c r="I18" s="68">
        <f t="shared" ref="I18:I29" si="0">IF(B18="","",PRODUCT(H18,LEFT(G18,LEN(G18)-3)))</f>
        <v>58320.000000000007</v>
      </c>
    </row>
    <row r="19" spans="1:9" ht="21.45" customHeight="1" x14ac:dyDescent="0.35">
      <c r="A19" s="57">
        <v>2</v>
      </c>
      <c r="B19" s="54" t="s">
        <v>311</v>
      </c>
      <c r="C19" s="54"/>
      <c r="D19" s="54"/>
      <c r="E19" s="54"/>
      <c r="F19" s="55">
        <f>IF(B19="","",VLOOKUP(B19,'[2]Item List'!B1:E600,4))</f>
        <v>481910</v>
      </c>
      <c r="G19" s="56" t="s">
        <v>312</v>
      </c>
      <c r="H19" s="74">
        <f>IF(B19="","",VLOOKUP(B19,'[2]Item List'!B1:D600,2))</f>
        <v>3.6</v>
      </c>
      <c r="I19" s="68">
        <f t="shared" si="0"/>
        <v>25200</v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83520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5011.2</v>
      </c>
    </row>
    <row r="32" spans="1:9" x14ac:dyDescent="0.3">
      <c r="A32" s="93" t="str">
        <f>SpellIndian(I34)</f>
        <v>Rupees Ninety Three Thousand Five Hundred Forty Two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5011.2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-0.39999999999417923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93542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2025-04-29T05:28:43Z</dcterms:modified>
</cp:coreProperties>
</file>