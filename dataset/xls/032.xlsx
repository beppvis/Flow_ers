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Invoice2025-2026\"/>
    </mc:Choice>
  </mc:AlternateContent>
  <bookViews>
    <workbookView xWindow="0" yWindow="0" windowWidth="23040" windowHeight="9264"/>
  </bookViews>
  <sheets>
    <sheet name="Invoice Template" sheetId="3" r:id="rId1"/>
    <sheet name="Pricing List" sheetId="5" state="hidden" r:id="rId2"/>
    <sheet name="Address Book" sheetId="4" state="hidden" r:id="rId3"/>
    <sheet name="Sheet1" sheetId="1" state="hidden" r:id="rId4"/>
  </sheets>
  <externalReferences>
    <externalReference r:id="rId5"/>
    <externalReference r:id="rId6"/>
  </externalReferences>
  <definedNames>
    <definedName name="CompanyName">'[1]Address Book'!$B$3:$B$242</definedName>
    <definedName name="ItemList">'[2]Item List'!$B$2:$B$734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H29" i="3" l="1"/>
  <c r="H28" i="3"/>
  <c r="H27" i="3"/>
  <c r="H26" i="3"/>
  <c r="H25" i="3"/>
  <c r="H24" i="3"/>
  <c r="H23" i="3"/>
  <c r="H20" i="3"/>
  <c r="H19" i="3"/>
  <c r="H18" i="3"/>
  <c r="F29" i="3" l="1"/>
  <c r="F28" i="3"/>
  <c r="F27" i="3"/>
  <c r="F26" i="3"/>
  <c r="F25" i="3"/>
  <c r="F24" i="3"/>
  <c r="F23" i="3"/>
  <c r="F22" i="3"/>
  <c r="F21" i="3"/>
  <c r="F20" i="3"/>
  <c r="F18" i="3"/>
  <c r="F19" i="3"/>
  <c r="A8" i="3"/>
  <c r="G31" i="3" l="1"/>
  <c r="G32" i="3"/>
  <c r="A10" i="3"/>
  <c r="A9" i="3"/>
  <c r="I29" i="3"/>
  <c r="I28" i="3"/>
  <c r="I27" i="3"/>
  <c r="I26" i="3"/>
  <c r="I25" i="3"/>
  <c r="I24" i="3"/>
  <c r="I23" i="3"/>
  <c r="I22" i="3"/>
  <c r="I21" i="3"/>
  <c r="I20" i="3"/>
  <c r="I19" i="3"/>
  <c r="I18" i="3"/>
  <c r="I30" i="3" l="1"/>
  <c r="I31" i="3" l="1"/>
  <c r="I32" i="3"/>
  <c r="I33" i="3" l="1"/>
  <c r="I34" i="3" s="1"/>
  <c r="A32" i="3"/>
</calcChain>
</file>

<file path=xl/sharedStrings.xml><?xml version="1.0" encoding="utf-8"?>
<sst xmlns="http://schemas.openxmlformats.org/spreadsheetml/2006/main" count="357" uniqueCount="319">
  <si>
    <t>S.No.</t>
  </si>
  <si>
    <t>Description</t>
  </si>
  <si>
    <t>Quantity</t>
  </si>
  <si>
    <t>Rate</t>
  </si>
  <si>
    <t>per</t>
  </si>
  <si>
    <t>Amount</t>
  </si>
  <si>
    <t>Invoice No.</t>
  </si>
  <si>
    <t>Dated</t>
  </si>
  <si>
    <t>Delivery Note</t>
  </si>
  <si>
    <t>Mode/Terms of Payment</t>
  </si>
  <si>
    <t>Other References</t>
  </si>
  <si>
    <t>Buyer's Order No.</t>
  </si>
  <si>
    <t>Dispatch Doc No.</t>
  </si>
  <si>
    <t>Delivery Note Date</t>
  </si>
  <si>
    <t>Dipatched through</t>
  </si>
  <si>
    <t>Destination</t>
  </si>
  <si>
    <t>Terms of Delivery</t>
  </si>
  <si>
    <t>Buyer (Bill to)</t>
  </si>
  <si>
    <t>Total</t>
  </si>
  <si>
    <r>
      <rPr>
        <sz val="11"/>
        <color theme="1"/>
        <rFont val="Arial"/>
        <family val="2"/>
      </rPr>
      <t>Reference No. &amp; Date</t>
    </r>
    <r>
      <rPr>
        <sz val="11"/>
        <color theme="1"/>
        <rFont val="Helvetica"/>
      </rPr>
      <t>.</t>
    </r>
  </si>
  <si>
    <t>SI No.</t>
  </si>
  <si>
    <t>Buyer (Bill To) :</t>
  </si>
  <si>
    <t>Reference No. &amp; Date</t>
  </si>
  <si>
    <t>Dispatched through</t>
  </si>
  <si>
    <t>Delivey Note</t>
  </si>
  <si>
    <t>Description of Goods</t>
  </si>
  <si>
    <t xml:space="preserve"> Amount Chargeable (in words)</t>
  </si>
  <si>
    <t xml:space="preserve"> We declare that this invoice shows the actual price of</t>
  </si>
  <si>
    <t xml:space="preserve"> the goods described and that all particulars are true </t>
  </si>
  <si>
    <t xml:space="preserve"> correct.</t>
  </si>
  <si>
    <r>
      <rPr>
        <sz val="9"/>
        <color theme="1"/>
        <rFont val="Arial Unicode MS"/>
        <family val="2"/>
      </rPr>
      <t xml:space="preserve"> </t>
    </r>
    <r>
      <rPr>
        <u/>
        <sz val="9"/>
        <color theme="1"/>
        <rFont val="Arial Unicode MS"/>
        <family val="2"/>
      </rPr>
      <t>Declaration</t>
    </r>
  </si>
  <si>
    <t>TOTAL</t>
  </si>
  <si>
    <t xml:space="preserve">GRAND TOTAL </t>
  </si>
  <si>
    <t>HSN/SAC</t>
  </si>
  <si>
    <t>APT PACKAGINGES</t>
  </si>
  <si>
    <t>Coimbatore - 641 659</t>
  </si>
  <si>
    <t>Bank Details:</t>
  </si>
  <si>
    <r>
      <t xml:space="preserve">       For </t>
    </r>
    <r>
      <rPr>
        <b/>
        <sz val="9"/>
        <color theme="1"/>
        <rFont val="Arial Unicode MS"/>
        <family val="2"/>
      </rPr>
      <t>APT PACKAGINGES</t>
    </r>
  </si>
  <si>
    <t>ROUNDED OFF</t>
  </si>
  <si>
    <t>Vehicle No.</t>
  </si>
  <si>
    <t>GSTIN: 33ABSFA8504G1ZE</t>
  </si>
  <si>
    <t>Bank Name:          Axis Bank</t>
  </si>
  <si>
    <t>Branch:      Karumathampatti</t>
  </si>
  <si>
    <t>ACC. No.:920020070585031</t>
  </si>
  <si>
    <t>IFSC CODE:   UTIB0001448</t>
  </si>
  <si>
    <t xml:space="preserve">      Authorized Signatory</t>
  </si>
  <si>
    <t>Company Name</t>
  </si>
  <si>
    <t>Address 1</t>
  </si>
  <si>
    <t>-</t>
  </si>
  <si>
    <t>Address 2</t>
  </si>
  <si>
    <t>City - Pincode</t>
  </si>
  <si>
    <t>GSTIN</t>
  </si>
  <si>
    <t>Aandal Textiles</t>
  </si>
  <si>
    <t xml:space="preserve">437/2A1,2A2, Senthampalayam Road </t>
  </si>
  <si>
    <t>S.S. Kulam</t>
  </si>
  <si>
    <t>Coimbatore - 641107</t>
  </si>
  <si>
    <t>33BKCPS6865A1Z7</t>
  </si>
  <si>
    <t>Abhirami Electronics Pvt. Ltd</t>
  </si>
  <si>
    <t>S.H.10, Avinashi Road</t>
  </si>
  <si>
    <t>Opp Goldwins, Civil Aerodome Post</t>
  </si>
  <si>
    <t>Coimbatore - 641013</t>
  </si>
  <si>
    <t>33AACCA6428K1ZQ</t>
  </si>
  <si>
    <t xml:space="preserve"> </t>
  </si>
  <si>
    <t>Ayyan Kovil Road</t>
  </si>
  <si>
    <t>Tirupur - 641663</t>
  </si>
  <si>
    <t>33ABEFA8947K1Z4</t>
  </si>
  <si>
    <t>Andavar Sizing Mills</t>
  </si>
  <si>
    <t>D.No.:37-1/20, Water Tank Street</t>
  </si>
  <si>
    <t>Aromas and Flavours International</t>
  </si>
  <si>
    <t>S.F.No.: 295/4, Rajan Nagar</t>
  </si>
  <si>
    <t>New Vadavalli, Sathyamangalam</t>
  </si>
  <si>
    <t>Erode - 628402</t>
  </si>
  <si>
    <t>33ALTPK3739L1Z5</t>
  </si>
  <si>
    <t xml:space="preserve">Ashwinram Spinning Mills Private </t>
  </si>
  <si>
    <t>485/4 , Sangothipalayam Road</t>
  </si>
  <si>
    <t>Kaniyur Post</t>
  </si>
  <si>
    <t>Coimbatore - 641659</t>
  </si>
  <si>
    <t>33AACCA5004H1ZB</t>
  </si>
  <si>
    <t>Bharani Pumps</t>
  </si>
  <si>
    <t>SF No,: 920/1, Vellappa Gounder Thottam</t>
  </si>
  <si>
    <t>Veeriampalayam, Kalapatti (PO)</t>
  </si>
  <si>
    <t>Coimbatore - 641048</t>
  </si>
  <si>
    <t>33AADFB0220C1ZL</t>
  </si>
  <si>
    <t>Bharat Balancing Weights &amp; Co.</t>
  </si>
  <si>
    <t>No. 322/1A3, Mopperipalayam Village</t>
  </si>
  <si>
    <t>Karumathampatti via</t>
  </si>
  <si>
    <t>33AAJFB2911J1ZQ</t>
  </si>
  <si>
    <t>Conpac Mix Pvt. Ltd</t>
  </si>
  <si>
    <t>2/42, Sangothipalayam</t>
  </si>
  <si>
    <t>Avinashi Road, Kaniyur Post</t>
  </si>
  <si>
    <t>33AAFCC4070Q1ZE</t>
  </si>
  <si>
    <t>Conspears Technologies</t>
  </si>
  <si>
    <t xml:space="preserve">5/32(A11), K.R.P Building, </t>
  </si>
  <si>
    <t>Vellathottam, Kaniyur(PO)</t>
  </si>
  <si>
    <t>33AVYPR8880N1Z7</t>
  </si>
  <si>
    <t>Deepam Thread Industries</t>
  </si>
  <si>
    <t>No.: 3/370 E-1, Mudalipalayam</t>
  </si>
  <si>
    <t>Arasur(PO)</t>
  </si>
  <si>
    <t>Coimbatore - 641407</t>
  </si>
  <si>
    <t>33B1HPB6665E1ZH</t>
  </si>
  <si>
    <t>Eco Metal Art Technologies</t>
  </si>
  <si>
    <t xml:space="preserve">SF No.: 87/3, Kaliyapuram, </t>
  </si>
  <si>
    <t>Somanur Road, M.G. Pudur</t>
  </si>
  <si>
    <t>Coimbatore - 641406</t>
  </si>
  <si>
    <t>33AAGFE5707Q1Z4</t>
  </si>
  <si>
    <t>Focusun Energy Systems</t>
  </si>
  <si>
    <t>SF No.:510/2B4, Pothiyampalayam Road</t>
  </si>
  <si>
    <t>Arasur</t>
  </si>
  <si>
    <t>33AADFF1640A1ZB</t>
  </si>
  <si>
    <t>Greenflow Technologies</t>
  </si>
  <si>
    <t>5/284-F, Arasur</t>
  </si>
  <si>
    <t>33AAEFK6295P1ZP</t>
  </si>
  <si>
    <t>Hydromax Industries</t>
  </si>
  <si>
    <t>SF No.: 372/2, 5th street</t>
  </si>
  <si>
    <t>Jothi Nagar</t>
  </si>
  <si>
    <t>Coimbatore - 641015</t>
  </si>
  <si>
    <t>33AAHFH5922P1Z1</t>
  </si>
  <si>
    <t>Ideal Pumpsets</t>
  </si>
  <si>
    <t>135/B-1, Chinnavedampatti</t>
  </si>
  <si>
    <t>Udayampalayam Road</t>
  </si>
  <si>
    <t>Coimbatore- 641049</t>
  </si>
  <si>
    <t>33AAAFH7982E1ZF</t>
  </si>
  <si>
    <t>Kadaieswari Sizing Mills</t>
  </si>
  <si>
    <t>79/0/7, North Street, Kadavul Thottam</t>
  </si>
  <si>
    <t xml:space="preserve">, </t>
  </si>
  <si>
    <t>Karugampalayam, Somanur</t>
  </si>
  <si>
    <t>Coimbatore - 641668</t>
  </si>
  <si>
    <t>33ACEFS3181Q1Z0</t>
  </si>
  <si>
    <t>Kissan Engineering Corporation</t>
  </si>
  <si>
    <t>3/57/1, Nellimara Thottam</t>
  </si>
  <si>
    <t>Mookambigai Nagar</t>
  </si>
  <si>
    <t>Coimbataore - 641006</t>
  </si>
  <si>
    <t>33AAOFK7387C1Z3</t>
  </si>
  <si>
    <t>Kongu Engineers</t>
  </si>
  <si>
    <t>5/284 - C, Arasur(PO)</t>
  </si>
  <si>
    <t>Krishtex</t>
  </si>
  <si>
    <t>SF No. 255, Naalukaal Thottam</t>
  </si>
  <si>
    <t>Ganapathy (PO)</t>
  </si>
  <si>
    <t>Coimbatore - 641006</t>
  </si>
  <si>
    <t>33AJPPB7967D1Z3</t>
  </si>
  <si>
    <t xml:space="preserve">KSP Engineering Work </t>
  </si>
  <si>
    <t>2/308-C, Thirmalaiappan Kadu</t>
  </si>
  <si>
    <t xml:space="preserve">Sellappampalayam, Kaniyur </t>
  </si>
  <si>
    <t>33BVNPS01761H1ZD</t>
  </si>
  <si>
    <t>Lakshmi Engineeringss</t>
  </si>
  <si>
    <t>No. 68, N. Ranganathan Street</t>
  </si>
  <si>
    <t>Rathinapuri</t>
  </si>
  <si>
    <t>Coimbatore - 641027</t>
  </si>
  <si>
    <t>33ALEPP1437D1ZJ</t>
  </si>
  <si>
    <t>Majestic Machine Works</t>
  </si>
  <si>
    <t>9/23A,23B, Nehru Nagar</t>
  </si>
  <si>
    <t>Kalapatti Road</t>
  </si>
  <si>
    <t>Coimbatore - 641014</t>
  </si>
  <si>
    <t>33AADFM1343H1ZQ</t>
  </si>
  <si>
    <t>Marks Engineering Works</t>
  </si>
  <si>
    <t>SF No.: 491, Karumathampatti - Annur Road</t>
  </si>
  <si>
    <t>Kaduvettipalayam (P.O)</t>
  </si>
  <si>
    <t>33AAFFM7150E1ZL</t>
  </si>
  <si>
    <t>Mega Weld Technologies</t>
  </si>
  <si>
    <t>225/2-A, Chinnayampalayam</t>
  </si>
  <si>
    <t>Irgur Road</t>
  </si>
  <si>
    <t>Coimbatore - 641103</t>
  </si>
  <si>
    <t>33AAFFM3700N1ZE</t>
  </si>
  <si>
    <t>MRM SIZING</t>
  </si>
  <si>
    <t>No. 211A, Karasakadu Thottam</t>
  </si>
  <si>
    <t>Muthuchettipalayam</t>
  </si>
  <si>
    <t>Avinashi - 641654</t>
  </si>
  <si>
    <t>33ABKFM0940L1Z7</t>
  </si>
  <si>
    <t>Printcare India Pvt. Ltd</t>
  </si>
  <si>
    <t>10, Sangothipalayam</t>
  </si>
  <si>
    <t>Arasur Post</t>
  </si>
  <si>
    <t>33AAECP4690A1ZQ</t>
  </si>
  <si>
    <t>Q2 Connectics Private Limited</t>
  </si>
  <si>
    <t xml:space="preserve">915, Kennedy Street, </t>
  </si>
  <si>
    <t>Mylampatti Post, Karuparayampalayam</t>
  </si>
  <si>
    <t>Coimbatore - 641062</t>
  </si>
  <si>
    <t>33AAACQ5975F1ZD</t>
  </si>
  <si>
    <t>Sasi International</t>
  </si>
  <si>
    <t>5/4A, Chinnavela Thottam</t>
  </si>
  <si>
    <t>Mathapur Road, Kaniyur (P.O.)</t>
  </si>
  <si>
    <t>33BCEPS2154J1ZL</t>
  </si>
  <si>
    <t>Sharp Hydro Products</t>
  </si>
  <si>
    <t>SF No.:100/1A7, Near Thangamman Temple</t>
  </si>
  <si>
    <t>Kalapatti</t>
  </si>
  <si>
    <t>33AENPC0609N1ZL</t>
  </si>
  <si>
    <t>Shreenithaa Engineering</t>
  </si>
  <si>
    <t>No. 10, Sathy Main Road</t>
  </si>
  <si>
    <t>Saravanampatti</t>
  </si>
  <si>
    <t>Coimbatore - 641035</t>
  </si>
  <si>
    <t>33BOQPG6674F1ZO</t>
  </si>
  <si>
    <t>Sitham Fluid Seals Pvt. Ltd.</t>
  </si>
  <si>
    <t>No.:13/7A, Mudaliar Thottam</t>
  </si>
  <si>
    <t>A.G. Pudur Road Irgur (P.O)</t>
  </si>
  <si>
    <t>33AAECS2186C1Z0</t>
  </si>
  <si>
    <t>Sree Pooja Engineering Industries</t>
  </si>
  <si>
    <t>No.: 9/132-A, Kaikolampalayam</t>
  </si>
  <si>
    <t>Mylampatti(PO)</t>
  </si>
  <si>
    <t>Coimbatore</t>
  </si>
  <si>
    <t>33ACOFS2408L1ZW</t>
  </si>
  <si>
    <t>Sri Athavan Texs Sizing Unit</t>
  </si>
  <si>
    <t>6/606A, Sedan Thottam</t>
  </si>
  <si>
    <t>Unjappalayam, Somanur</t>
  </si>
  <si>
    <t>33MMRPS3006F1ZS</t>
  </si>
  <si>
    <t>Sri Selvanayaki Textile</t>
  </si>
  <si>
    <t>No. 67, Karugampalayam</t>
  </si>
  <si>
    <t>Ichipatti, Somanur</t>
  </si>
  <si>
    <t>33AFRPP5951K1ZT</t>
  </si>
  <si>
    <t>Sri Velava Textiles</t>
  </si>
  <si>
    <t>552/1A, Kaniyur</t>
  </si>
  <si>
    <t>Somanur</t>
  </si>
  <si>
    <t>Coimbatore- 641649</t>
  </si>
  <si>
    <t>33AWNPV8719L1ZM</t>
  </si>
  <si>
    <t>Sri Velayuthasamy Sizing mills</t>
  </si>
  <si>
    <t>3A, Main Road</t>
  </si>
  <si>
    <t>Paramasivampalayam, Mansalam via</t>
  </si>
  <si>
    <t>33ACIFS4056Q1ZK</t>
  </si>
  <si>
    <t>SRM Technologies</t>
  </si>
  <si>
    <t>No.: 1/54-G3, Valayapalayam Pirivu</t>
  </si>
  <si>
    <t>Kaduvettipalayam (PO)</t>
  </si>
  <si>
    <t>33ACRFS1131R1ZN</t>
  </si>
  <si>
    <t>Thirumurusan Spinners</t>
  </si>
  <si>
    <t>4/277, Main Road</t>
  </si>
  <si>
    <t>Karuvalur(PO)</t>
  </si>
  <si>
    <t>Avinashi - 641670</t>
  </si>
  <si>
    <t>33AAGF74387D1Z6</t>
  </si>
  <si>
    <t>Trendy Engineering Company</t>
  </si>
  <si>
    <t>134, Sharp Nagar</t>
  </si>
  <si>
    <t>Sitra Road, Kalapatti</t>
  </si>
  <si>
    <t>33AAJFT9064G2ZW</t>
  </si>
  <si>
    <t>Trinity Colour India Pvt. Ltd</t>
  </si>
  <si>
    <t>Door No.: 3/274, Annur Main Road</t>
  </si>
  <si>
    <t>Karumathampatti</t>
  </si>
  <si>
    <t>Coimbatore-641659</t>
  </si>
  <si>
    <t>33AACCT3948H1ZB</t>
  </si>
  <si>
    <t>Virgin Paper</t>
  </si>
  <si>
    <t>SF No.:42/43, Coimbatore Co-op House</t>
  </si>
  <si>
    <t>Construction Society Ltd.</t>
  </si>
  <si>
    <t>33AHPPR3955B1Z8</t>
  </si>
  <si>
    <t>Wintraack Textiles (P) Ltd</t>
  </si>
  <si>
    <t>18, Rasagoundampalayam Road</t>
  </si>
  <si>
    <t>Pethamuchipalayam, Samalapuram (P.O)</t>
  </si>
  <si>
    <t>Tirupur - 641653</t>
  </si>
  <si>
    <t>33AABCW5867B1ZF</t>
  </si>
  <si>
    <t>Xtaton Resources</t>
  </si>
  <si>
    <t>4/1, Sathy Main Road</t>
  </si>
  <si>
    <t>Vaiyapuri Nagar, Kurumbapalayam</t>
  </si>
  <si>
    <t>Coimbatore 641107</t>
  </si>
  <si>
    <t>33AAAFX1978N2ZN</t>
  </si>
  <si>
    <t>GSTIN:</t>
  </si>
  <si>
    <t>Name</t>
  </si>
  <si>
    <t>Column1</t>
  </si>
  <si>
    <t>8G Box set - 5ply box</t>
  </si>
  <si>
    <t>8G Box set - 5ply box (W.O.P)</t>
  </si>
  <si>
    <t>10G Box set - 5ply box</t>
  </si>
  <si>
    <t>10G Box set - 5ply box (W.O.P)</t>
  </si>
  <si>
    <t>10G pad set</t>
  </si>
  <si>
    <t>278x168x235mm - 5ply 0.50HP inner box</t>
  </si>
  <si>
    <t>365x290x255mm - 5ply 0.5HP master box</t>
  </si>
  <si>
    <t>315x168x245mm - 5ply 1HP inner box</t>
  </si>
  <si>
    <t>365x330x268mm - 5ply 1HP master box</t>
  </si>
  <si>
    <t>16 1/2 x 7 1/2 x 9 1/2" - 7ply box Shallow Well</t>
  </si>
  <si>
    <t>14 1/4 x 8 1/2 x 13" - 7ply box with buffer set</t>
  </si>
  <si>
    <t>1200x800x450mm - 7ply box with cover</t>
  </si>
  <si>
    <t xml:space="preserve">1120x700x250mm - 7ply box </t>
  </si>
  <si>
    <t>290x250x130mm - 3ply box</t>
  </si>
  <si>
    <t>390x240x140mm - 5ply box</t>
  </si>
  <si>
    <t>1120x700x420mm - 7ply box</t>
  </si>
  <si>
    <t>1120x700x560mm - 7ply box</t>
  </si>
  <si>
    <t>900x520x620mm - 7ply box with cover</t>
  </si>
  <si>
    <t>900x570x670mm - 7ply box with cover</t>
  </si>
  <si>
    <t>1200x800x500mm - 7 ply box with cover</t>
  </si>
  <si>
    <t xml:space="preserve">550x350x250mm - 7ply box </t>
  </si>
  <si>
    <t>1200x800x450mm- 7ply cover</t>
  </si>
  <si>
    <t>900x520x620mm - 7ply cover</t>
  </si>
  <si>
    <t>900x570x620mm - 7 ply cover</t>
  </si>
  <si>
    <t>780x780mm - 3ply lamination pad</t>
  </si>
  <si>
    <t>780x600mm - 2ply lamination pad</t>
  </si>
  <si>
    <t>780x600mm - 2ply pad</t>
  </si>
  <si>
    <t>Polythene sheet (per kg)</t>
  </si>
  <si>
    <t>420x160x200mm - 7ply box with pad</t>
  </si>
  <si>
    <t>310x235x140mm - 7ply box</t>
  </si>
  <si>
    <t>415x258x153mm - 5ply box</t>
  </si>
  <si>
    <t>9x9x4 1/2" - 3 ply box</t>
  </si>
  <si>
    <t>19x19x21" - 7ply gunny box</t>
  </si>
  <si>
    <t>9 1/2 x7x2 1/4" - 3ply punching box</t>
  </si>
  <si>
    <t>9x9x6 1/4" - 3ply box</t>
  </si>
  <si>
    <t>240x170x60mm - 3plt punchin box</t>
  </si>
  <si>
    <t>14x8x4" - 5 ply box</t>
  </si>
  <si>
    <t>430x290x75mm - 5ply box</t>
  </si>
  <si>
    <t>540x135x115mm - 5ply box</t>
  </si>
  <si>
    <t>345x345x90mm - 5ply box</t>
  </si>
  <si>
    <t>265x265x145mm - 5ply box</t>
  </si>
  <si>
    <t>485x297x178mm - 5ply box</t>
  </si>
  <si>
    <t>420x300x60mm - 5ply box</t>
  </si>
  <si>
    <t>375x305x75mm - 5ply box</t>
  </si>
  <si>
    <t>Milano 0.5HP inner box</t>
  </si>
  <si>
    <t>Milano 1HP inner box</t>
  </si>
  <si>
    <t>Milano 0.5HP master box</t>
  </si>
  <si>
    <t>Milano 1Hp master box</t>
  </si>
  <si>
    <t>12 3/4 x 7 1/2 x 9 1/4 " - 7ply pad</t>
  </si>
  <si>
    <t>13 1/4 x 7 3/4" - 5ply pad</t>
  </si>
  <si>
    <t>305x185x255mm - 5ply box [UNNATI]</t>
  </si>
  <si>
    <t>15 1/4 x 12 1/2 x 10 3/4" - 5ply [UNNATI] master box</t>
  </si>
  <si>
    <t>TN39T4963</t>
  </si>
  <si>
    <t>3/228, Amman Kovil Thottam, Nall Road,</t>
  </si>
  <si>
    <t>Kittampalayam Post, Karumathampatti,</t>
  </si>
  <si>
    <r>
      <t xml:space="preserve"> UDYAM REG. NO. : </t>
    </r>
    <r>
      <rPr>
        <sz val="9"/>
        <color theme="1"/>
        <rFont val="Arial Unicode MS"/>
        <family val="2"/>
      </rPr>
      <t>UDYAM-TN-03-0128511</t>
    </r>
  </si>
  <si>
    <t>032</t>
  </si>
  <si>
    <t>787,789</t>
  </si>
  <si>
    <t>12-4-25,15-4-25</t>
  </si>
  <si>
    <t>12X7.25X10'' UNNATI INNER BOX 180GSM</t>
  </si>
  <si>
    <t>395 NOS</t>
  </si>
  <si>
    <t>15.50X12.50X10.75'' - 5PLY BOX UNNATI</t>
  </si>
  <si>
    <t>200 NOS</t>
  </si>
  <si>
    <t>1 HP Unnati Buffer Set</t>
  </si>
  <si>
    <t>1020 NOS</t>
  </si>
  <si>
    <t>VARUNA INNER BOX</t>
  </si>
  <si>
    <t>400 NOS</t>
  </si>
  <si>
    <t>VARUN M.BOX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</si>
</sst>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#,##0.00"/>
    <numFmt numFmtId="165" formatCode="#,##0.00_ ;\-#,##0.00\ "/>
    <numFmt numFmtId="166" formatCode="0.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theme="1"/>
      <name val="Helvetica"/>
    </font>
    <font>
      <sz val="11"/>
      <color theme="1"/>
      <name val="Arial"/>
      <family val="2"/>
    </font>
    <font>
      <sz val="11"/>
      <color theme="1"/>
      <name val="Arial Unicode MS"/>
      <family val="2"/>
    </font>
    <font>
      <sz val="9"/>
      <color theme="1"/>
      <name val="Arial Unicode MS"/>
      <family val="2"/>
    </font>
    <font>
      <sz val="9"/>
      <color theme="1"/>
      <name val="Calibri"/>
      <family val="2"/>
      <scheme val="minor"/>
    </font>
    <font>
      <b/>
      <sz val="9"/>
      <color theme="1"/>
      <name val="Arial Unicode MS"/>
      <family val="2"/>
    </font>
    <font>
      <u/>
      <sz val="9"/>
      <color theme="1"/>
      <name val="Arial Unicode MS"/>
      <family val="2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2" borderId="0" applyNumberFormat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1" xfId="0" applyFont="1" applyBorder="1"/>
    <xf numFmtId="0" fontId="5" fillId="0" borderId="4" xfId="0" applyFont="1" applyBorder="1"/>
    <xf numFmtId="0" fontId="5" fillId="0" borderId="0" xfId="0" applyFont="1"/>
    <xf numFmtId="0" fontId="5" fillId="0" borderId="8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6" fillId="0" borderId="7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9" xfId="0" applyFont="1" applyBorder="1"/>
    <xf numFmtId="0" fontId="5" fillId="0" borderId="16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0" xfId="0" applyFont="1" applyBorder="1"/>
    <xf numFmtId="0" fontId="5" fillId="0" borderId="19" xfId="0" applyFont="1" applyBorder="1"/>
    <xf numFmtId="0" fontId="5" fillId="0" borderId="20" xfId="0" applyFont="1" applyBorder="1"/>
    <xf numFmtId="0" fontId="7" fillId="0" borderId="4" xfId="0" applyFont="1" applyBorder="1"/>
    <xf numFmtId="0" fontId="7" fillId="0" borderId="0" xfId="0" applyFont="1"/>
    <xf numFmtId="0" fontId="5" fillId="0" borderId="6" xfId="0" applyFont="1" applyFill="1" applyBorder="1"/>
    <xf numFmtId="0" fontId="6" fillId="0" borderId="8" xfId="0" applyFont="1" applyBorder="1"/>
    <xf numFmtId="0" fontId="0" fillId="0" borderId="4" xfId="0" applyBorder="1"/>
    <xf numFmtId="0" fontId="5" fillId="0" borderId="21" xfId="0" applyFont="1" applyBorder="1"/>
    <xf numFmtId="0" fontId="0" fillId="0" borderId="5" xfId="0" applyBorder="1"/>
    <xf numFmtId="0" fontId="8" fillId="0" borderId="4" xfId="0" applyFont="1" applyBorder="1"/>
    <xf numFmtId="0" fontId="8" fillId="0" borderId="0" xfId="0" applyFont="1"/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7" xfId="0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/>
    <xf numFmtId="0" fontId="5" fillId="0" borderId="0" xfId="0" applyFont="1" applyFill="1" applyBorder="1"/>
    <xf numFmtId="0" fontId="4" fillId="0" borderId="3" xfId="0" applyFont="1" applyBorder="1"/>
    <xf numFmtId="0" fontId="4" fillId="0" borderId="5" xfId="0" applyFont="1" applyBorder="1"/>
    <xf numFmtId="49" fontId="7" fillId="0" borderId="6" xfId="0" applyNumberFormat="1" applyFont="1" applyBorder="1" applyAlignment="1">
      <alignment horizontal="left"/>
    </xf>
    <xf numFmtId="0" fontId="5" fillId="0" borderId="29" xfId="0" applyFont="1" applyFill="1" applyBorder="1"/>
    <xf numFmtId="0" fontId="0" fillId="0" borderId="30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 applyAlignment="1">
      <alignment horizontal="right"/>
    </xf>
    <xf numFmtId="0" fontId="11" fillId="0" borderId="0" xfId="0" applyFont="1"/>
    <xf numFmtId="0" fontId="9" fillId="0" borderId="10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9" fillId="0" borderId="10" xfId="0" applyFont="1" applyBorder="1"/>
    <xf numFmtId="0" fontId="10" fillId="0" borderId="24" xfId="0" applyFont="1" applyBorder="1"/>
    <xf numFmtId="0" fontId="7" fillId="0" borderId="23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10" fillId="0" borderId="0" xfId="0" applyFont="1"/>
    <xf numFmtId="0" fontId="10" fillId="0" borderId="0" xfId="0" applyFont="1" applyBorder="1"/>
    <xf numFmtId="0" fontId="0" fillId="0" borderId="10" xfId="0" applyFont="1" applyBorder="1"/>
    <xf numFmtId="0" fontId="11" fillId="0" borderId="5" xfId="0" applyFont="1" applyBorder="1"/>
    <xf numFmtId="0" fontId="11" fillId="0" borderId="33" xfId="0" applyFont="1" applyBorder="1" applyAlignment="1">
      <alignment horizontal="center"/>
    </xf>
    <xf numFmtId="0" fontId="12" fillId="0" borderId="10" xfId="0" applyFont="1" applyBorder="1"/>
    <xf numFmtId="2" fontId="11" fillId="0" borderId="22" xfId="0" applyNumberFormat="1" applyFont="1" applyBorder="1" applyAlignment="1">
      <alignment horizontal="right"/>
    </xf>
    <xf numFmtId="0" fontId="5" fillId="0" borderId="34" xfId="0" applyFont="1" applyBorder="1" applyAlignment="1">
      <alignment horizontal="center" vertical="center"/>
    </xf>
    <xf numFmtId="164" fontId="7" fillId="0" borderId="23" xfId="0" applyNumberFormat="1" applyFont="1" applyBorder="1" applyAlignment="1">
      <alignment horizontal="right"/>
    </xf>
    <xf numFmtId="0" fontId="0" fillId="0" borderId="5" xfId="0" applyBorder="1" applyAlignment="1">
      <alignment vertical="top"/>
    </xf>
    <xf numFmtId="165" fontId="7" fillId="0" borderId="8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2" fontId="9" fillId="0" borderId="14" xfId="0" applyNumberFormat="1" applyFont="1" applyBorder="1" applyAlignment="1">
      <alignment horizontal="center"/>
    </xf>
    <xf numFmtId="166" fontId="11" fillId="0" borderId="16" xfId="0" applyNumberFormat="1" applyFont="1" applyBorder="1" applyAlignment="1">
      <alignment horizontal="center"/>
    </xf>
    <xf numFmtId="2" fontId="9" fillId="0" borderId="16" xfId="0" applyNumberFormat="1" applyFont="1" applyBorder="1" applyAlignment="1">
      <alignment horizontal="center"/>
    </xf>
    <xf numFmtId="2" fontId="9" fillId="0" borderId="25" xfId="0" applyNumberFormat="1" applyFont="1" applyBorder="1" applyAlignment="1">
      <alignment horizontal="center"/>
    </xf>
    <xf numFmtId="0" fontId="13" fillId="2" borderId="0" xfId="1"/>
    <xf numFmtId="2" fontId="5" fillId="0" borderId="0" xfId="0" applyNumberFormat="1" applyFont="1"/>
    <xf numFmtId="0" fontId="7" fillId="0" borderId="6" xfId="0" applyFont="1" applyBorder="1" applyAlignment="1">
      <alignment horizontal="left"/>
    </xf>
    <xf numFmtId="49" fontId="7" fillId="0" borderId="7" xfId="0" applyNumberFormat="1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vertical="top"/>
    </xf>
    <xf numFmtId="0" fontId="10" fillId="0" borderId="0" xfId="0" applyFont="1" applyAlignment="1">
      <alignment vertical="top"/>
    </xf>
    <xf numFmtId="0" fontId="7" fillId="0" borderId="0" xfId="0" applyFont="1" applyAlignment="1">
      <alignment vertical="top"/>
    </xf>
    <xf numFmtId="14" fontId="7" fillId="0" borderId="6" xfId="0" applyNumberFormat="1" applyFont="1" applyBorder="1" applyAlignment="1">
      <alignment horizontal="left"/>
    </xf>
    <xf numFmtId="0" fontId="7" fillId="0" borderId="8" xfId="0" applyNumberFormat="1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right"/>
    </xf>
  </cellXfs>
  <cellStyles count="2">
    <cellStyle name="Good" xfId="1" builtinId="26"/>
    <cellStyle name="Normal" xfId="0" builtinId="0"/>
  </cellStyles>
  <dxfs count="8"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rial Unicode M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Unicode M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Address%20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voice%20Maker/Ite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ress Book"/>
    </sheetNames>
    <sheetDataSet>
      <sheetData sheetId="0">
        <row r="3">
          <cell r="B3" t="str">
            <v>A.K.M SIZING AND WEAVING MILLS</v>
          </cell>
          <cell r="C3" t="str">
            <v>SF NO 258/11,13 KALLAAN THOTTAM</v>
          </cell>
          <cell r="E3" t="str">
            <v>ARASAPPALAYAM, KARUVALUR POST</v>
          </cell>
          <cell r="F3" t="str">
            <v>TIRUPUR - 641670</v>
          </cell>
          <cell r="G3" t="str">
            <v>33BHJPM1390L1Z4</v>
          </cell>
        </row>
        <row r="4">
          <cell r="B4" t="str">
            <v>A.V.DISTRIBUTORS</v>
          </cell>
          <cell r="C4" t="str">
            <v>11/14,Lakshmi Nagar,Thottipalayam Pirivu</v>
          </cell>
          <cell r="E4" t="str">
            <v>Civil Aerodrome Post</v>
          </cell>
          <cell r="F4" t="str">
            <v>Coimbatore - 641014</v>
          </cell>
          <cell r="G4" t="str">
            <v>33AALFA3055G1ZR</v>
          </cell>
        </row>
        <row r="5">
          <cell r="B5" t="str">
            <v>AANDAL SPINNING MILLS</v>
          </cell>
          <cell r="C5" t="str">
            <v>3/303, Nathegounden Pudur Via,</v>
          </cell>
          <cell r="E5" t="str">
            <v>Kunnathur Village, Kovipalayam Post</v>
          </cell>
          <cell r="F5" t="str">
            <v>Coimbatore - 641107</v>
          </cell>
          <cell r="G5" t="str">
            <v>33ABBFA5788R1ZS</v>
          </cell>
        </row>
        <row r="6">
          <cell r="B6" t="str">
            <v>Aandal Textiles</v>
          </cell>
          <cell r="C6" t="str">
            <v xml:space="preserve">437/2A1,2A2, Senthampalayam Road </v>
          </cell>
          <cell r="E6" t="str">
            <v>S.S. Kulam</v>
          </cell>
          <cell r="F6" t="str">
            <v>Coimbatore - 641107</v>
          </cell>
          <cell r="G6" t="str">
            <v>33BKCPS6865A1Z7</v>
          </cell>
        </row>
        <row r="7">
          <cell r="B7" t="str">
            <v>ABIRAMI ELECTRONICS PVT. LTD</v>
          </cell>
          <cell r="C7" t="str">
            <v>S.H.10, Avinashi Road</v>
          </cell>
          <cell r="E7" t="str">
            <v>Opp Goldwins, Civil Aerodome Post</v>
          </cell>
          <cell r="F7" t="str">
            <v>Coimbatore - 641013</v>
          </cell>
          <cell r="G7" t="str">
            <v>33AACCA6428K1ZQ</v>
          </cell>
        </row>
        <row r="8">
          <cell r="B8" t="str">
            <v>Accucut Lasers Private Limited</v>
          </cell>
          <cell r="C8" t="str">
            <v>1/562-5, Mudalipalayam</v>
          </cell>
          <cell r="E8" t="str">
            <v>Arasur Post</v>
          </cell>
          <cell r="F8" t="str">
            <v>Coimbatore - 641407</v>
          </cell>
          <cell r="G8" t="str">
            <v>33AAXCA8350M1Z0</v>
          </cell>
        </row>
        <row r="9">
          <cell r="B9" t="str">
            <v>ALPHA AGENCIES</v>
          </cell>
          <cell r="C9" t="str">
            <v>21/2,ALAMELUMANGAPURAM</v>
          </cell>
          <cell r="E9" t="str">
            <v>3rd,STREET,GANPATHY</v>
          </cell>
          <cell r="F9" t="str">
            <v>COIMBATORE-641006</v>
          </cell>
          <cell r="G9" t="str">
            <v>33AATFA4623Q1ZY</v>
          </cell>
        </row>
        <row r="10">
          <cell r="B10" t="str">
            <v>Andavar Sizing Mills</v>
          </cell>
          <cell r="C10" t="str">
            <v>D.No.:37-1/20, Water Tank Street</v>
          </cell>
          <cell r="E10" t="str">
            <v>Ayyan Kovil Road</v>
          </cell>
          <cell r="F10" t="str">
            <v>Tirupur - 641663</v>
          </cell>
          <cell r="G10" t="str">
            <v>33ABEFA8947K1Z4</v>
          </cell>
        </row>
        <row r="11">
          <cell r="B11" t="str">
            <v>ANNAI TEX MILLS</v>
          </cell>
          <cell r="C11" t="str">
            <v>SF.NO. 100/2D1,D.NO3/337,KADUVETTIPALAYAM</v>
          </cell>
          <cell r="E11" t="str">
            <v>KARUMATHAMPATTI ( VIA )</v>
          </cell>
          <cell r="F11" t="str">
            <v>COIMBATORE - 641659</v>
          </cell>
          <cell r="G11" t="str">
            <v>33ABBFA9633M1ZA</v>
          </cell>
        </row>
        <row r="12">
          <cell r="B12" t="str">
            <v>Aromas and Flavours International</v>
          </cell>
          <cell r="C12" t="str">
            <v>S.F.No.: 295/4, Rajan Nagar</v>
          </cell>
          <cell r="E12" t="str">
            <v>New Vadavalli, Sathyamangalam</v>
          </cell>
          <cell r="F12" t="str">
            <v>Erode - 628402</v>
          </cell>
          <cell r="G12" t="str">
            <v>33ALTPK3739L1Z5</v>
          </cell>
        </row>
        <row r="13">
          <cell r="B13" t="str">
            <v xml:space="preserve">Ashwinram Spinning Mills Private Limited </v>
          </cell>
          <cell r="C13" t="str">
            <v>485/4 , Sangothipalayam Road</v>
          </cell>
          <cell r="E13" t="str">
            <v>Kaniyur Post</v>
          </cell>
          <cell r="F13" t="str">
            <v>Coimbatore - 641659</v>
          </cell>
          <cell r="G13" t="str">
            <v>33AACCA5004H1ZB</v>
          </cell>
        </row>
        <row r="14">
          <cell r="B14" t="str">
            <v>ASVAA PUMPS UNIT - 1</v>
          </cell>
          <cell r="C14" t="str">
            <v>711/6A, PALLAKADU</v>
          </cell>
          <cell r="E14" t="str">
            <v>THEKKALUR</v>
          </cell>
          <cell r="F14" t="str">
            <v>COIMBATORE - 641654</v>
          </cell>
          <cell r="G14" t="str">
            <v>33BDAPG1221M1Z3</v>
          </cell>
        </row>
        <row r="15">
          <cell r="B15" t="str">
            <v>Bagavathi Precision Products</v>
          </cell>
          <cell r="C15" t="str">
            <v>SF.NO.316/2A Thennampalayam</v>
          </cell>
          <cell r="E15" t="str">
            <v>Rasipalayam Road, Arasur Post</v>
          </cell>
          <cell r="F15" t="str">
            <v>Coimbatore - 641407</v>
          </cell>
          <cell r="G15" t="str">
            <v>33AAHFB5023B1Z8</v>
          </cell>
        </row>
        <row r="16">
          <cell r="B16" t="str">
            <v>BALAVIGNA WEAVING MILLS PVT LTD</v>
          </cell>
          <cell r="C16" t="str">
            <v>Balavigna House, 11/A3,Kasthuribai</v>
          </cell>
          <cell r="E16" t="str">
            <v>Hostel Road,Nagal Nagar</v>
          </cell>
          <cell r="F16" t="str">
            <v>Dindigul - 624003</v>
          </cell>
          <cell r="G16" t="str">
            <v>33AAACB7408E1Z6</v>
          </cell>
        </row>
        <row r="17">
          <cell r="B17" t="str">
            <v xml:space="preserve">Barani Hydraulics Iindia Private Limited </v>
          </cell>
          <cell r="C17" t="str">
            <v>SF No: 1043/1, Kurumbapalayam Main Road</v>
          </cell>
          <cell r="E17" t="str">
            <v>Kalapatti</v>
          </cell>
          <cell r="F17" t="str">
            <v>Coimbatore - 641048</v>
          </cell>
        </row>
        <row r="18">
          <cell r="B18" t="str">
            <v>Bharani Pumps</v>
          </cell>
          <cell r="C18" t="str">
            <v>SF No,: 920/1, Vellappa Gounder Thottam</v>
          </cell>
          <cell r="E18" t="str">
            <v>Veeriampalayam, Kalapatti (PO)</v>
          </cell>
          <cell r="F18" t="str">
            <v>Coimbatore - 641048</v>
          </cell>
          <cell r="G18" t="str">
            <v>33AADFB0220C1ZL</v>
          </cell>
        </row>
        <row r="19">
          <cell r="B19" t="str">
            <v>Bharat Balancing Weights &amp; Co.</v>
          </cell>
          <cell r="C19" t="str">
            <v>No. 322/1A3, Mopperipalayam Village</v>
          </cell>
          <cell r="E19" t="str">
            <v>Karumathampatti via</v>
          </cell>
          <cell r="F19" t="str">
            <v>Coimbatore - 641659</v>
          </cell>
          <cell r="G19" t="str">
            <v>33AAJFB2911J1ZQ</v>
          </cell>
        </row>
        <row r="20">
          <cell r="B20" t="str">
            <v>CIM TECHNOLOGY</v>
          </cell>
          <cell r="C20" t="str">
            <v>1/450-1 Kanavedan Kovil Road,</v>
          </cell>
          <cell r="E20" t="str">
            <v>Muthalipalayam, Arasur Post</v>
          </cell>
          <cell r="F20" t="str">
            <v>Coimbatore - 641407</v>
          </cell>
          <cell r="G20" t="str">
            <v>33AAEFC0995L2Z9</v>
          </cell>
        </row>
        <row r="21">
          <cell r="B21" t="str">
            <v>Conpac Mix Pvt. Ltd</v>
          </cell>
          <cell r="C21" t="str">
            <v>2/42, Sangothipalayam</v>
          </cell>
          <cell r="E21" t="str">
            <v>Avinashi Road, Kaniyur Post</v>
          </cell>
          <cell r="F21" t="str">
            <v>Coimbatore - 641659</v>
          </cell>
          <cell r="G21" t="str">
            <v>33AAFCC4070Q1ZE</v>
          </cell>
        </row>
        <row r="22">
          <cell r="B22" t="str">
            <v>Conspears Technologies</v>
          </cell>
          <cell r="C22" t="str">
            <v xml:space="preserve">5/32(A11), K.R.P Building, </v>
          </cell>
          <cell r="E22" t="str">
            <v>Vellathottam, Kaniyur(PO)</v>
          </cell>
          <cell r="F22" t="str">
            <v>Coimbatore - 641659</v>
          </cell>
          <cell r="G22" t="str">
            <v>33AVYPR8880N1Z7</v>
          </cell>
        </row>
        <row r="23">
          <cell r="B23" t="str">
            <v>Deepam Thread Industries</v>
          </cell>
          <cell r="C23" t="str">
            <v>No.: 3/370 E-1, Mudalipalayam</v>
          </cell>
          <cell r="E23" t="str">
            <v>Arasur(PO)</v>
          </cell>
          <cell r="F23" t="str">
            <v>Coimbatore - 641407</v>
          </cell>
          <cell r="G23" t="str">
            <v>33B1HPB6665E1ZH</v>
          </cell>
        </row>
        <row r="24">
          <cell r="B24" t="str">
            <v>Eco Metal Art Technologies</v>
          </cell>
          <cell r="C24" t="str">
            <v xml:space="preserve">SF No.: 87/3, Kaliyapuram, </v>
          </cell>
          <cell r="E24" t="str">
            <v>Somanur Road, M.G. Pudur</v>
          </cell>
          <cell r="F24" t="str">
            <v>Coimbatore - 641406</v>
          </cell>
          <cell r="G24" t="str">
            <v>33AAGFE5707Q1Z4</v>
          </cell>
        </row>
        <row r="25">
          <cell r="B25" t="str">
            <v>Efficut Technologies ( P ) Limited</v>
          </cell>
          <cell r="C25" t="str">
            <v>1/562-2,Mudalipalayam</v>
          </cell>
          <cell r="E25" t="str">
            <v>Arasur Post</v>
          </cell>
          <cell r="F25" t="str">
            <v>Coimbatore - 641407</v>
          </cell>
          <cell r="G25" t="str">
            <v>33AAECE1686K1ZI</v>
          </cell>
        </row>
        <row r="26">
          <cell r="B26" t="str">
            <v>Focusun Energy Systems</v>
          </cell>
          <cell r="C26" t="str">
            <v>SF No.:510/2B4, Pothiyampalayam Road</v>
          </cell>
          <cell r="E26" t="str">
            <v>Arasur</v>
          </cell>
          <cell r="F26" t="str">
            <v>Coimbatore - 641407</v>
          </cell>
          <cell r="G26" t="str">
            <v>33AADFF1640A1ZB</v>
          </cell>
        </row>
        <row r="27">
          <cell r="B27" t="str">
            <v>Global Techno Products</v>
          </cell>
          <cell r="C27" t="str">
            <v>6/625A, Indira Nagar, Unjapalayam Pirivu</v>
          </cell>
          <cell r="E27" t="str">
            <v>Somanur post</v>
          </cell>
          <cell r="F27" t="str">
            <v>Coimbatore - 641668</v>
          </cell>
          <cell r="G27" t="str">
            <v>33AWUPV7756J1ZG</v>
          </cell>
        </row>
        <row r="28">
          <cell r="B28" t="str">
            <v>Greenflow Technologies</v>
          </cell>
          <cell r="C28" t="str">
            <v>5/284-F, Arasur</v>
          </cell>
          <cell r="E28" t="str">
            <v>Arasur(PO)</v>
          </cell>
          <cell r="F28" t="str">
            <v>Coimbatore - 641407</v>
          </cell>
          <cell r="G28" t="str">
            <v>33AAEFK6295P1ZP</v>
          </cell>
        </row>
        <row r="29">
          <cell r="B29" t="str">
            <v>Hydromax Industries</v>
          </cell>
          <cell r="C29" t="str">
            <v>SF No.: 372/2, 5th street</v>
          </cell>
          <cell r="E29" t="str">
            <v>Jothi Nagar</v>
          </cell>
          <cell r="F29" t="str">
            <v>Coimbatore - 641015</v>
          </cell>
          <cell r="G29" t="str">
            <v>33AAHFH5922P1Z1</v>
          </cell>
        </row>
        <row r="30">
          <cell r="B30" t="str">
            <v>Ideal Pumpsets</v>
          </cell>
          <cell r="C30" t="str">
            <v>135/B-1, Chinnavedampatti</v>
          </cell>
          <cell r="E30" t="str">
            <v>Udayampalayam Road</v>
          </cell>
          <cell r="F30" t="str">
            <v>Coimbatore- 641049</v>
          </cell>
          <cell r="G30" t="str">
            <v>33AAAFH7982E1ZF</v>
          </cell>
        </row>
        <row r="31">
          <cell r="B31" t="str">
            <v>JR ELECTRONICS AND SERVICES</v>
          </cell>
          <cell r="C31" t="str">
            <v>17/24B,Annur Road, Near PK Hospital</v>
          </cell>
          <cell r="E31" t="str">
            <v>Karumathampatti</v>
          </cell>
          <cell r="F31" t="str">
            <v>Coimbatore - 641659</v>
          </cell>
          <cell r="G31" t="str">
            <v>33FHZPR6100K1ZR</v>
          </cell>
        </row>
        <row r="32">
          <cell r="B32" t="str">
            <v>Kadaieswari Sizing Mills</v>
          </cell>
          <cell r="C32" t="str">
            <v>79/0/7, North Street, Kadavul Thottam</v>
          </cell>
          <cell r="E32" t="str">
            <v>Karugampalayam, Somanur</v>
          </cell>
          <cell r="F32" t="str">
            <v>Coimbatore - 641668</v>
          </cell>
          <cell r="G32" t="str">
            <v>33ACEFS3181Q1Z0</v>
          </cell>
        </row>
        <row r="33">
          <cell r="B33" t="str">
            <v>Kissan Engineering Corporation</v>
          </cell>
          <cell r="C33" t="str">
            <v>3/57/1, Nellimara Thottam</v>
          </cell>
          <cell r="E33" t="str">
            <v>Mookambigai Nagar</v>
          </cell>
          <cell r="F33" t="str">
            <v>Coimbataore - 641006</v>
          </cell>
          <cell r="G33" t="str">
            <v>33AAOFK7387C1Z3</v>
          </cell>
        </row>
        <row r="34">
          <cell r="B34" t="str">
            <v>KLEANFAB GV TEX PVT LTD</v>
          </cell>
          <cell r="C34" t="str">
            <v>SF.NO 212/3,215/3,NH544,PUDUPALAYAM</v>
          </cell>
          <cell r="E34" t="str">
            <v>KANIYUR POST</v>
          </cell>
          <cell r="F34" t="str">
            <v>COIMBATORE - 641659</v>
          </cell>
          <cell r="G34" t="str">
            <v>33AAHCK5620L1ZH</v>
          </cell>
        </row>
        <row r="35">
          <cell r="B35" t="str">
            <v>Kongu Enginears</v>
          </cell>
          <cell r="C35" t="str">
            <v>5/284 - C, Arasur</v>
          </cell>
          <cell r="E35" t="str">
            <v>Arasur(PO)</v>
          </cell>
          <cell r="F35" t="str">
            <v>Coimbatore - 641407</v>
          </cell>
          <cell r="G35" t="str">
            <v>33AAEFK6295P1ZP</v>
          </cell>
        </row>
        <row r="36">
          <cell r="B36" t="str">
            <v>KONGU TUBULAR PRODUCTS</v>
          </cell>
          <cell r="C36" t="str">
            <v>2308-6,Mopiripalayam Road</v>
          </cell>
          <cell r="E36" t="str">
            <v>Kaniyur,Karumathampatti (PO)</v>
          </cell>
          <cell r="F36" t="str">
            <v>Coimbatore - 641659</v>
          </cell>
          <cell r="G36" t="str">
            <v>33AAEFK6295P1ZP</v>
          </cell>
        </row>
        <row r="37">
          <cell r="B37" t="str">
            <v>Kovilpatti Lakshmi Roller Flour Mills Limited</v>
          </cell>
          <cell r="C37" t="str">
            <v>Eltex Super Castings - Engineering Division</v>
          </cell>
          <cell r="E37" t="str">
            <v>Periyanaickenpalayam</v>
          </cell>
          <cell r="F37" t="str">
            <v xml:space="preserve"> Coimbatore - 641020</v>
          </cell>
          <cell r="G37" t="str">
            <v>33AAACK6029N2ZE</v>
          </cell>
        </row>
        <row r="38">
          <cell r="B38" t="str">
            <v>Krishtex</v>
          </cell>
          <cell r="C38" t="str">
            <v>SF No. 255, Naalukaal Thottam</v>
          </cell>
          <cell r="E38" t="str">
            <v>Ganapathy (PO)</v>
          </cell>
          <cell r="F38" t="str">
            <v>Coimbatore - 641006</v>
          </cell>
          <cell r="G38" t="str">
            <v>33AJPPB7967D1Z3</v>
          </cell>
        </row>
        <row r="39">
          <cell r="B39" t="str">
            <v xml:space="preserve">KSP Engineering Work </v>
          </cell>
          <cell r="C39" t="str">
            <v>2/308-C, Thirmalaiappan Kadu</v>
          </cell>
          <cell r="E39" t="str">
            <v xml:space="preserve">Sellappampalayam, Kaniyur </v>
          </cell>
          <cell r="F39" t="str">
            <v>Coimbatore - 641659</v>
          </cell>
          <cell r="G39" t="str">
            <v>33BVNPS01761H1ZD</v>
          </cell>
        </row>
        <row r="40">
          <cell r="B40" t="str">
            <v>Kumaran Sizing Mills</v>
          </cell>
          <cell r="C40" t="str">
            <v>SF NO.88/4, Near Malaikovil (south side)</v>
          </cell>
          <cell r="E40" t="str">
            <v>Pallapalayam (po), Mangalam (Via)</v>
          </cell>
          <cell r="F40" t="str">
            <v>Coimbatore - 641663</v>
          </cell>
          <cell r="G40" t="str">
            <v>33AAFFK1339R1Z1</v>
          </cell>
        </row>
        <row r="41">
          <cell r="B41" t="str">
            <v>Lakshmi Engineeringss</v>
          </cell>
          <cell r="C41" t="str">
            <v>No. 68, N. Ranganathan Street</v>
          </cell>
          <cell r="E41" t="str">
            <v>Rathinapuri</v>
          </cell>
          <cell r="F41" t="str">
            <v>Coimbatore - 641027</v>
          </cell>
          <cell r="G41" t="str">
            <v>33ALEPP1437D1ZJ</v>
          </cell>
        </row>
        <row r="42">
          <cell r="B42" t="str">
            <v>Majestic Machine Works</v>
          </cell>
          <cell r="C42" t="str">
            <v>9/23A,23B, Nehru Nagar</v>
          </cell>
          <cell r="E42" t="str">
            <v>Kalapatti Road</v>
          </cell>
          <cell r="F42" t="str">
            <v>Coimbatore - 641014</v>
          </cell>
          <cell r="G42" t="str">
            <v>33AADFM1343H1ZQ</v>
          </cell>
        </row>
        <row r="43">
          <cell r="B43" t="str">
            <v>Marks Engineering Works</v>
          </cell>
          <cell r="C43" t="str">
            <v>SF No.: 491, Karumathampatti - Annur Road</v>
          </cell>
          <cell r="E43" t="str">
            <v>Kaduvettipalayam (P.O)</v>
          </cell>
          <cell r="F43" t="str">
            <v>Coimbatore - 641 659</v>
          </cell>
          <cell r="G43" t="str">
            <v>33AAFFM7150E1ZL</v>
          </cell>
        </row>
        <row r="44">
          <cell r="B44" t="str">
            <v>Maruthi Sizing Mill</v>
          </cell>
          <cell r="C44" t="str">
            <v>293/1 Sedapalayam Road</v>
          </cell>
          <cell r="E44" t="str">
            <v>Somanur</v>
          </cell>
          <cell r="F44" t="str">
            <v>Coimbatore - 641668</v>
          </cell>
          <cell r="G44" t="str">
            <v>33AAKFM8326P1ZP</v>
          </cell>
        </row>
        <row r="45">
          <cell r="B45" t="str">
            <v>MAXWELL AUTO COMPONENTS ( P ) LID</v>
          </cell>
          <cell r="C45" t="str">
            <v>SF.NO, 397/2A,398/2B, Jangammanaickenpalayam</v>
          </cell>
          <cell r="E45" t="str">
            <v>Paduvampalli, Karumathampatti ( via )</v>
          </cell>
          <cell r="F45" t="str">
            <v>Coimbatore - 641659</v>
          </cell>
          <cell r="G45" t="str">
            <v>33AAHCM6131E1ZU</v>
          </cell>
        </row>
        <row r="46">
          <cell r="B46" t="str">
            <v>Mega Weld Technologies</v>
          </cell>
          <cell r="C46" t="str">
            <v>225/2-A, Chinnayampalayam</v>
          </cell>
          <cell r="E46" t="str">
            <v>Irgur Post</v>
          </cell>
          <cell r="F46" t="str">
            <v>Coimbatore - 641103</v>
          </cell>
          <cell r="G46" t="str">
            <v>33AAFFM3700N1ZE</v>
          </cell>
        </row>
        <row r="47">
          <cell r="B47" t="str">
            <v>MICRO-TECH CNC (P) LIMITED (UNIT - 1)</v>
          </cell>
          <cell r="C47" t="str">
            <v>PLOT NO. 16E</v>
          </cell>
          <cell r="E47" t="str">
            <v>SIPCOT PHASE 11</v>
          </cell>
          <cell r="F47" t="str">
            <v>HOSUR - 635109</v>
          </cell>
          <cell r="G47" t="str">
            <v>33AABCM1632J1ZT</v>
          </cell>
        </row>
        <row r="48">
          <cell r="B48" t="str">
            <v>MRM SIZING</v>
          </cell>
          <cell r="C48" t="str">
            <v>No. 211A, Karasakadu Thottam</v>
          </cell>
          <cell r="E48" t="str">
            <v>Muthuchettipalayam</v>
          </cell>
          <cell r="F48" t="str">
            <v>Avinashi - 641654</v>
          </cell>
          <cell r="G48" t="str">
            <v>33ABKFM0940L1Z7</v>
          </cell>
        </row>
        <row r="49">
          <cell r="B49" t="str">
            <v>MRS COTTON MILLS</v>
          </cell>
          <cell r="C49" t="str">
            <v>584/2B, Nariampali Mettupalayam</v>
          </cell>
          <cell r="E49" t="str">
            <v>Ramanathapuram Panchayat, Avinashi</v>
          </cell>
          <cell r="F49" t="str">
            <v>Tirupur - 641670</v>
          </cell>
          <cell r="G49" t="str">
            <v>33EUWPS8703Q1ZE</v>
          </cell>
        </row>
        <row r="50">
          <cell r="B50" t="str">
            <v>NEX INNOVATIONS</v>
          </cell>
          <cell r="C50" t="str">
            <v>43, Chellandiamman Nager</v>
          </cell>
          <cell r="E50" t="str">
            <v>PKS illam Singanallur</v>
          </cell>
          <cell r="F50" t="str">
            <v>Coimbatore - 641005</v>
          </cell>
          <cell r="G50" t="str">
            <v>33ACOPT8640R1ZO</v>
          </cell>
        </row>
        <row r="51">
          <cell r="B51" t="str">
            <v>Precicraft Vaccum Pumps P Ltd (Water Pumps Division)</v>
          </cell>
          <cell r="C51" t="str">
            <v>216/2C, Chinniampalayam Road</v>
          </cell>
          <cell r="E51" t="str">
            <v>Irugur Post</v>
          </cell>
          <cell r="F51" t="str">
            <v>Coimbatore - 641103</v>
          </cell>
          <cell r="G51" t="str">
            <v>33AADCP1752A1Z2</v>
          </cell>
        </row>
        <row r="52">
          <cell r="B52" t="str">
            <v>Printcare India Pvt. Ltd</v>
          </cell>
          <cell r="C52" t="str">
            <v>10, Sangothipalayam</v>
          </cell>
          <cell r="E52" t="str">
            <v>Arasur Post</v>
          </cell>
          <cell r="F52" t="str">
            <v>Coimbatore - 641407</v>
          </cell>
          <cell r="G52" t="str">
            <v>33AAECP4690A1ZQ</v>
          </cell>
        </row>
        <row r="53">
          <cell r="B53" t="str">
            <v>PROMPT AUTOMATION</v>
          </cell>
          <cell r="C53" t="str">
            <v>2/245-F, Sulur Rly Feeder Road</v>
          </cell>
          <cell r="E53" t="str">
            <v>Kurumbapalayam, M.G Pudur  ( po )</v>
          </cell>
          <cell r="F53" t="str">
            <v>Coimbatore - 641402</v>
          </cell>
          <cell r="G53" t="str">
            <v>33AAJFP5693D1Z4</v>
          </cell>
        </row>
        <row r="54">
          <cell r="B54" t="str">
            <v>Q2 Connectics Private Limited</v>
          </cell>
          <cell r="C54" t="str">
            <v xml:space="preserve">915, Kennedy Street, </v>
          </cell>
          <cell r="E54" t="str">
            <v>Mylampatti Post, Karuparayampalayam</v>
          </cell>
          <cell r="F54" t="str">
            <v>Coimbatore - 641062</v>
          </cell>
          <cell r="G54" t="str">
            <v>33AAACQ5975F1ZD</v>
          </cell>
        </row>
        <row r="55">
          <cell r="B55" t="str">
            <v>S.VE OFFSET PRINTER'S</v>
          </cell>
          <cell r="C55" t="str">
            <v xml:space="preserve">2/18, Senkattu Thottam, </v>
          </cell>
          <cell r="E55" t="str">
            <v>Keeranatham Road</v>
          </cell>
          <cell r="F55" t="str">
            <v>Coimbatore - 641035</v>
          </cell>
          <cell r="G55" t="str">
            <v>33BGSPG4169H1Z5</v>
          </cell>
        </row>
        <row r="56">
          <cell r="B56" t="str">
            <v>SAKTHI ASSOCIATES</v>
          </cell>
          <cell r="C56" t="str">
            <v>1/54 g-2, Valayapalayam prrivu</v>
          </cell>
          <cell r="E56" t="str">
            <v>Kaduvettipalayam</v>
          </cell>
          <cell r="F56" t="str">
            <v>Coimbatore - 641659</v>
          </cell>
          <cell r="G56" t="str">
            <v>33ABXFS4712P1ZE</v>
          </cell>
        </row>
        <row r="57">
          <cell r="B57" t="str">
            <v>Sasi International</v>
          </cell>
          <cell r="C57" t="str">
            <v>5/4A, Chinnavela Thottam</v>
          </cell>
          <cell r="E57" t="str">
            <v>Mathapur Road, Kaniyur (P.O.)</v>
          </cell>
          <cell r="F57" t="str">
            <v>Coimbatore - 641659</v>
          </cell>
          <cell r="G57" t="str">
            <v>33BCEPS2154J1ZL</v>
          </cell>
        </row>
        <row r="58">
          <cell r="B58" t="str">
            <v>SG INC</v>
          </cell>
          <cell r="C58" t="str">
            <v>S.F NO. 379, VACHINAMPALAYAM</v>
          </cell>
          <cell r="E58" t="str">
            <v>SIRUMUGAI</v>
          </cell>
          <cell r="F58" t="str">
            <v>COIMBATORE - 647302</v>
          </cell>
          <cell r="G58" t="str">
            <v>33AFEHFS0796Q1ZA</v>
          </cell>
        </row>
        <row r="59">
          <cell r="B59" t="str">
            <v>Sharp Hydro Products</v>
          </cell>
          <cell r="C59" t="str">
            <v>SF No.:100/1A7, Near Thangamman Temple</v>
          </cell>
          <cell r="E59" t="str">
            <v>Kalapatti</v>
          </cell>
          <cell r="F59" t="str">
            <v>Coimbatore - 641048</v>
          </cell>
          <cell r="G59" t="str">
            <v>33AENPC0609N1ZL</v>
          </cell>
        </row>
        <row r="60">
          <cell r="B60" t="str">
            <v>SHARP MOTORS</v>
          </cell>
          <cell r="C60" t="str">
            <v>SF NO;22/3,POTHIYAMPALAYAM ROAD</v>
          </cell>
          <cell r="E60" t="str">
            <v>ARASUR ( PO )</v>
          </cell>
          <cell r="F60" t="str">
            <v>COIMBATORE - 641407</v>
          </cell>
          <cell r="G60" t="str">
            <v>33BGZPB8611G1ZA</v>
          </cell>
        </row>
        <row r="61">
          <cell r="B61" t="str">
            <v>Shreenithaa Engineering</v>
          </cell>
          <cell r="C61" t="str">
            <v>No. 10, Sathy Main Road</v>
          </cell>
          <cell r="E61" t="str">
            <v>Saravanampatti</v>
          </cell>
          <cell r="F61" t="str">
            <v>Coimbatore - 641035</v>
          </cell>
          <cell r="G61" t="str">
            <v>33BOQPG6674F1ZO</v>
          </cell>
        </row>
        <row r="62">
          <cell r="B62" t="str">
            <v>Shreenithaa Engineering</v>
          </cell>
          <cell r="C62" t="str">
            <v>NO.10 Sathy main Road</v>
          </cell>
          <cell r="E62" t="str">
            <v>Saravanampatti</v>
          </cell>
          <cell r="F62" t="str">
            <v>Coimbatore - 641035</v>
          </cell>
          <cell r="G62" t="str">
            <v>33BOQPG6674F1ZO</v>
          </cell>
        </row>
        <row r="63">
          <cell r="B63" t="str">
            <v>SHRI GURULAKSHMI TEXTILES</v>
          </cell>
          <cell r="C63" t="str">
            <v>No.6f/1,Karugampalayam,</v>
          </cell>
          <cell r="E63" t="str">
            <v>Samalapuram, Palladam</v>
          </cell>
          <cell r="F63" t="str">
            <v>Tiruppur - 641668</v>
          </cell>
          <cell r="G63" t="str">
            <v>33ACAFS5156K1Z1</v>
          </cell>
        </row>
        <row r="64">
          <cell r="B64" t="str">
            <v>Shri Saha Coats</v>
          </cell>
          <cell r="C64" t="str">
            <v>2/240, Annexe C-Section, Avinashi Road</v>
          </cell>
          <cell r="E64" t="str">
            <v>Chinniyampalayam</v>
          </cell>
          <cell r="F64" t="str">
            <v>Coimbatore - 641062</v>
          </cell>
          <cell r="G64" t="str">
            <v>33BKAPD9630E1ZN</v>
          </cell>
        </row>
        <row r="65">
          <cell r="B65" t="str">
            <v>Sitham Fluid Seals Pvt. Ltd.</v>
          </cell>
          <cell r="C65" t="str">
            <v>No.:13/7A, Mudaliar Thottam</v>
          </cell>
          <cell r="E65" t="str">
            <v>A.G. Pudur Road Irgur (P.O)</v>
          </cell>
          <cell r="F65" t="str">
            <v>Coimbatore - 641103</v>
          </cell>
          <cell r="G65" t="str">
            <v>33AAECS2186C1Z0</v>
          </cell>
        </row>
        <row r="66">
          <cell r="B66" t="str">
            <v>Sree Pooja Engineering Industries</v>
          </cell>
          <cell r="C66" t="str">
            <v>No.: 9/132-A, Kaikolampalayam</v>
          </cell>
          <cell r="E66" t="str">
            <v>Mylampatti(PO)</v>
          </cell>
          <cell r="F66" t="str">
            <v>Coimbatore</v>
          </cell>
          <cell r="G66" t="str">
            <v>33ACOFS2408L1ZW</v>
          </cell>
        </row>
        <row r="67">
          <cell r="B67" t="str">
            <v>Sri Athavan Texs Sizing Unit</v>
          </cell>
          <cell r="C67" t="str">
            <v>6/606A, Sedan Thottam</v>
          </cell>
          <cell r="E67" t="str">
            <v>Unjappalayam, Somanur</v>
          </cell>
          <cell r="F67" t="str">
            <v>Coimbatore - 641668</v>
          </cell>
          <cell r="G67" t="str">
            <v>33MMRPS3006F1ZS</v>
          </cell>
        </row>
        <row r="68">
          <cell r="B68" t="str">
            <v>SRI NIKITHA SIZING MILLS</v>
          </cell>
          <cell r="C68" t="str">
            <v>15/98 D, Nehru Street</v>
          </cell>
          <cell r="E68" t="str">
            <v>Senthil Nagar, Somanur</v>
          </cell>
          <cell r="F68" t="str">
            <v>Coimbatore - 641668</v>
          </cell>
          <cell r="G68" t="str">
            <v>33ACFFS3952A1ZH</v>
          </cell>
        </row>
        <row r="69">
          <cell r="B69" t="str">
            <v>SRI RANGANATHAR TEX</v>
          </cell>
          <cell r="C69" t="str">
            <v>21/17, NO 4, ARP COMPLEX,NEAR SAP THEATRE</v>
          </cell>
          <cell r="E69" t="str">
            <v>AVINASHI MAIN ROAD</v>
          </cell>
          <cell r="F69" t="str">
            <v>TIRUPPUR - 641603</v>
          </cell>
          <cell r="G69" t="str">
            <v>33AEWFS5196K1Z3</v>
          </cell>
        </row>
        <row r="70">
          <cell r="B70" t="str">
            <v>Sri Selvanayaki Textile</v>
          </cell>
          <cell r="C70" t="str">
            <v>No. 67, Karugampalayam</v>
          </cell>
          <cell r="E70" t="str">
            <v>Ichipatti, Somanur</v>
          </cell>
          <cell r="F70" t="str">
            <v>Coimbatore - 641668</v>
          </cell>
          <cell r="G70" t="str">
            <v>33AFRPP5951K1ZT</v>
          </cell>
        </row>
        <row r="71">
          <cell r="B71" t="str">
            <v>SRI SUBAM SIZING MILLS</v>
          </cell>
          <cell r="C71" t="str">
            <v>SF.NO.105/1-A1, Subam Garden</v>
          </cell>
          <cell r="E71" t="str">
            <v>Velayuthampalayam (po)</v>
          </cell>
          <cell r="F71" t="str">
            <v>Avinashi - 641654</v>
          </cell>
          <cell r="G71" t="str">
            <v>33ABDFS5430Q1ZV</v>
          </cell>
        </row>
        <row r="72">
          <cell r="B72" t="str">
            <v>Sri Velava Textiles</v>
          </cell>
          <cell r="C72" t="str">
            <v>552/1A, Kaniyur</v>
          </cell>
          <cell r="E72" t="str">
            <v>Somanur</v>
          </cell>
          <cell r="F72" t="str">
            <v>Coimbatore- 641649</v>
          </cell>
          <cell r="G72" t="str">
            <v>33AWNPV8719L1ZM</v>
          </cell>
        </row>
        <row r="73">
          <cell r="B73" t="str">
            <v>Sri Velayuthasamy Sizing mills</v>
          </cell>
          <cell r="C73" t="str">
            <v>3A, Main Road</v>
          </cell>
          <cell r="E73" t="str">
            <v>Paramasivampalayam, Mansalam via</v>
          </cell>
          <cell r="F73" t="str">
            <v>Tirupur - 641663</v>
          </cell>
          <cell r="G73" t="str">
            <v>33ACIFS4056Q1ZK</v>
          </cell>
        </row>
        <row r="74">
          <cell r="B74" t="str">
            <v>SRM Technologies</v>
          </cell>
          <cell r="C74" t="str">
            <v>No.: 1/54-G3, Valayapalayam Pirivu</v>
          </cell>
          <cell r="E74" t="str">
            <v>Kaduvettipalayam (PO)</v>
          </cell>
          <cell r="F74" t="str">
            <v>Coimbatore - 641659</v>
          </cell>
          <cell r="G74" t="str">
            <v>33ACRFS1131R1ZN</v>
          </cell>
        </row>
        <row r="75">
          <cell r="B75" t="str">
            <v>SUPER SPRINGS PRIVATE LIMITED</v>
          </cell>
          <cell r="C75" t="str">
            <v>Kurumbapalayam</v>
          </cell>
          <cell r="E75" t="str">
            <v>Muthugoundenpudur (post)</v>
          </cell>
          <cell r="F75" t="str">
            <v>Coimbatore - 641406</v>
          </cell>
          <cell r="G75" t="str">
            <v>33AADCS1869D1ZJ</v>
          </cell>
        </row>
        <row r="76">
          <cell r="B76" t="str">
            <v>THIRUKUMARAN SIZING MILLS</v>
          </cell>
          <cell r="C76" t="str">
            <v>14/A-2, KALAIGNAR SIREET</v>
          </cell>
          <cell r="E76" t="str">
            <v>VELAUTHAMPALAYAM,PALLAPALAYAM</v>
          </cell>
          <cell r="F76" t="str">
            <v>TIRUPPUR - 641663</v>
          </cell>
          <cell r="G76" t="str">
            <v>33AAGFT3117K1Z9</v>
          </cell>
        </row>
        <row r="77">
          <cell r="B77" t="str">
            <v>Thirumurusan Spinners</v>
          </cell>
          <cell r="C77" t="str">
            <v>4/277, Main Road</v>
          </cell>
          <cell r="E77" t="str">
            <v>Karuvalur(PO)</v>
          </cell>
          <cell r="F77" t="str">
            <v>Avinashi - 641670</v>
          </cell>
          <cell r="G77" t="str">
            <v>33AAGF74387D1Z6</v>
          </cell>
        </row>
        <row r="78">
          <cell r="B78" t="str">
            <v>Trendy Engineering Company</v>
          </cell>
          <cell r="C78" t="str">
            <v>134, Sharp Nagar</v>
          </cell>
          <cell r="E78" t="str">
            <v>Sitra Road, Kalapatti</v>
          </cell>
          <cell r="F78" t="str">
            <v>Coimbatore - 641048</v>
          </cell>
          <cell r="G78" t="str">
            <v>33AAJFT9064G2ZW</v>
          </cell>
        </row>
        <row r="79">
          <cell r="B79" t="str">
            <v>Triniity Colour India Pvt. Ltd</v>
          </cell>
          <cell r="C79" t="str">
            <v>Door No.: 3/274, Annur Main Road</v>
          </cell>
          <cell r="E79" t="str">
            <v>Karumathampatti</v>
          </cell>
          <cell r="F79" t="str">
            <v>Coimbatore-641659</v>
          </cell>
          <cell r="G79" t="str">
            <v>33AACCT3948H1ZB</v>
          </cell>
        </row>
        <row r="80">
          <cell r="B80" t="str">
            <v>TSI ENGINEERING INDS. PVT. LTD</v>
          </cell>
          <cell r="C80" t="str">
            <v>SF NO.473/6B,473/7A BALAJI INDUSTRIAL PARK</v>
          </cell>
          <cell r="E80" t="str">
            <v>SENTHAMPALAYAM, P.G. PUDUR ( PO )</v>
          </cell>
          <cell r="F80" t="str">
            <v>COIMBATORE - 641107</v>
          </cell>
          <cell r="G80" t="str">
            <v>33AAECT1284A1ZU</v>
          </cell>
        </row>
        <row r="81">
          <cell r="B81" t="str">
            <v>TUBEMANN INDIA</v>
          </cell>
          <cell r="C81" t="str">
            <v>2/308-C 6, Mopiripalayam Road</v>
          </cell>
          <cell r="E81" t="str">
            <v>Kaniyur Post</v>
          </cell>
          <cell r="F81" t="str">
            <v>Coimbatore - 641659</v>
          </cell>
          <cell r="G81" t="str">
            <v>33AAEFK6295P1ZP</v>
          </cell>
        </row>
        <row r="82">
          <cell r="B82" t="str">
            <v>TYCHE</v>
          </cell>
          <cell r="C82" t="str">
            <v>67/8,Athipalayam Road</v>
          </cell>
          <cell r="E82" t="str">
            <v>Chinnavedampatti</v>
          </cell>
          <cell r="F82" t="str">
            <v>Coimbatore - 641049</v>
          </cell>
          <cell r="G82" t="str">
            <v>33AYBPD6328D1ZO</v>
          </cell>
        </row>
        <row r="83">
          <cell r="B83" t="str">
            <v>VINAYAGA PAPER AGENCIES</v>
          </cell>
          <cell r="C83" t="str">
            <v>NO.10, PONNUSAMY NAGAR</v>
          </cell>
          <cell r="E83" t="str">
            <v>S.N PALAYAM</v>
          </cell>
          <cell r="F83" t="str">
            <v>COIMBATORE-641007</v>
          </cell>
          <cell r="G83" t="str">
            <v>33ADFPV2814H1ZM</v>
          </cell>
        </row>
        <row r="84">
          <cell r="B84" t="str">
            <v>VINAYAHAA CORE WORES</v>
          </cell>
          <cell r="C84" t="str">
            <v>4/1-15,Near Kalpatharu Sizing, Kollupalayam</v>
          </cell>
          <cell r="E84" t="str">
            <v>Kaniyur post, Karumathampatti</v>
          </cell>
          <cell r="F84" t="str">
            <v>Coimbatore - 641659</v>
          </cell>
          <cell r="G84" t="str">
            <v>33AAIFV2643N1ZU</v>
          </cell>
        </row>
        <row r="85">
          <cell r="B85" t="str">
            <v>Virgin Paper</v>
          </cell>
          <cell r="C85" t="str">
            <v>SF No.:42/43, Coimbatore Co-op House</v>
          </cell>
          <cell r="E85" t="str">
            <v>Construction Society Ltd.</v>
          </cell>
          <cell r="F85" t="str">
            <v>Coimbatore - 641035</v>
          </cell>
          <cell r="G85" t="str">
            <v>33AHPPR3955B1Z8</v>
          </cell>
        </row>
        <row r="86">
          <cell r="B86" t="str">
            <v>Wintraack Textiles (P) Ltd</v>
          </cell>
          <cell r="C86" t="str">
            <v>18, Rasagoundampalayam Road</v>
          </cell>
          <cell r="E86" t="str">
            <v>Pethamuchipalayam, Samalapuram (P.O)</v>
          </cell>
          <cell r="F86" t="str">
            <v>Tirupur - 641653</v>
          </cell>
          <cell r="G86" t="str">
            <v>33AABCW5867B1ZF</v>
          </cell>
        </row>
        <row r="87">
          <cell r="B87" t="str">
            <v>Xtaton Resources</v>
          </cell>
          <cell r="C87" t="str">
            <v>4/1, Sathy Main Road</v>
          </cell>
          <cell r="E87" t="str">
            <v>Vaiyapuri Nagar, Kurumbapalayam</v>
          </cell>
          <cell r="F87" t="str">
            <v>Coimbatore 641107</v>
          </cell>
          <cell r="G87" t="str">
            <v>33AAAFX1978N2ZN</v>
          </cell>
        </row>
        <row r="88">
          <cell r="B88" t="str">
            <v>Yaali Pumps India Pvt. Ltd</v>
          </cell>
          <cell r="C88" t="str">
            <v>SF.NO: 316, Abash Garden Mearku Thottam</v>
          </cell>
          <cell r="E88" t="str">
            <v>Luna Nagar, Thadagam Road</v>
          </cell>
          <cell r="F88" t="str">
            <v>Coimbatore - 641025</v>
          </cell>
          <cell r="G88" t="str">
            <v>33AABCY2366D1ZL</v>
          </cell>
        </row>
        <row r="89">
          <cell r="B89" t="str">
            <v>ZEN MARK MACHINERY COMPONENTS</v>
          </cell>
          <cell r="C89" t="str">
            <v>10/104, Veppan Kattu Thottom</v>
          </cell>
          <cell r="E89" t="str">
            <v>Sengoda Gounder Pudur, M.G Pudur ( PO )</v>
          </cell>
          <cell r="F89" t="str">
            <v>Coimbatore - 641402</v>
          </cell>
          <cell r="G89" t="str">
            <v>33AABCY2366D1ZL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tem List"/>
    </sheetNames>
    <sheetDataSet>
      <sheetData sheetId="0" refreshError="1"/>
      <sheetData sheetId="1">
        <row r="1">
          <cell r="B1" t="str">
            <v>Name</v>
          </cell>
          <cell r="C1" t="str">
            <v>Rate</v>
          </cell>
          <cell r="D1" t="str">
            <v>Item Code</v>
          </cell>
          <cell r="E1" t="str">
            <v>HSN/SAC</v>
          </cell>
        </row>
        <row r="2">
          <cell r="B2" t="str">
            <v xml:space="preserve"> 13x6.75x9'' buffer set</v>
          </cell>
          <cell r="C2">
            <v>17</v>
          </cell>
          <cell r="E2">
            <v>481910</v>
          </cell>
        </row>
        <row r="3">
          <cell r="B3" t="str">
            <v xml:space="preserve"> 450X380X180MM - 5ply Box with pad</v>
          </cell>
          <cell r="C3">
            <v>43.84</v>
          </cell>
          <cell r="E3">
            <v>481910</v>
          </cell>
        </row>
        <row r="4">
          <cell r="B4" t="str">
            <v xml:space="preserve"> OiiO Cookies BOX</v>
          </cell>
          <cell r="C4">
            <v>3.53</v>
          </cell>
          <cell r="E4">
            <v>481910</v>
          </cell>
        </row>
        <row r="5">
          <cell r="B5" t="str">
            <v xml:space="preserve"> OPTIMA Master box 4x1</v>
          </cell>
          <cell r="C5">
            <v>52</v>
          </cell>
          <cell r="E5">
            <v>481910</v>
          </cell>
        </row>
        <row r="6">
          <cell r="B6" t="str">
            <v xml:space="preserve"> PRITING CHARGA MINEMAM COST</v>
          </cell>
          <cell r="C6">
            <v>3000</v>
          </cell>
          <cell r="E6">
            <v>481910</v>
          </cell>
        </row>
        <row r="7">
          <cell r="B7" t="str">
            <v>1 HP Unnati Buffer Set</v>
          </cell>
          <cell r="C7">
            <v>9</v>
          </cell>
          <cell r="E7">
            <v>481910</v>
          </cell>
        </row>
        <row r="8">
          <cell r="B8" t="str">
            <v>10.75X5.50X7'' - 5 PLY BOX</v>
          </cell>
          <cell r="C8">
            <v>14.8</v>
          </cell>
          <cell r="E8">
            <v>481910</v>
          </cell>
        </row>
        <row r="9">
          <cell r="B9" t="str">
            <v>10.75x5.50x7'' -5ply Box Top White</v>
          </cell>
          <cell r="C9">
            <v>17.7</v>
          </cell>
          <cell r="E9">
            <v>481910</v>
          </cell>
        </row>
        <row r="10">
          <cell r="B10" t="str">
            <v>1040x685x330 Wooden Box (100474)</v>
          </cell>
          <cell r="C10">
            <v>1280</v>
          </cell>
          <cell r="E10">
            <v>44152000</v>
          </cell>
        </row>
        <row r="11">
          <cell r="B11" t="str">
            <v>10G Box set - 5ply box</v>
          </cell>
          <cell r="C11">
            <v>21</v>
          </cell>
          <cell r="E11">
            <v>481910</v>
          </cell>
        </row>
        <row r="12">
          <cell r="B12" t="str">
            <v>10G Box set - 5ply box (W.O.P)</v>
          </cell>
          <cell r="C12">
            <v>23.5</v>
          </cell>
          <cell r="E12">
            <v>481910</v>
          </cell>
        </row>
        <row r="13">
          <cell r="B13" t="str">
            <v>10G BOX SET ( KL )</v>
          </cell>
          <cell r="C13">
            <v>22.3</v>
          </cell>
          <cell r="E13">
            <v>481910</v>
          </cell>
        </row>
        <row r="14">
          <cell r="B14" t="str">
            <v>10G pad set</v>
          </cell>
          <cell r="C14">
            <v>10.7</v>
          </cell>
          <cell r="E14">
            <v>481910</v>
          </cell>
        </row>
        <row r="15">
          <cell r="B15" t="str">
            <v>10x6x8.50'' - 5ply Box ( waterman box )</v>
          </cell>
          <cell r="C15">
            <v>14.9</v>
          </cell>
          <cell r="E15">
            <v>481910</v>
          </cell>
        </row>
        <row r="16">
          <cell r="B16" t="str">
            <v>10x6x8.50'' - 5ply Box (OPTIMA)</v>
          </cell>
          <cell r="C16">
            <v>14.9</v>
          </cell>
          <cell r="E16">
            <v>481910</v>
          </cell>
        </row>
        <row r="17">
          <cell r="B17" t="str">
            <v>11.25x6.75x8.50 - 5ply box</v>
          </cell>
          <cell r="C17">
            <v>21.84</v>
          </cell>
          <cell r="E17">
            <v>481910</v>
          </cell>
        </row>
        <row r="18">
          <cell r="B18" t="str">
            <v>11.25x7.25x10'' - 5ply precicraft Box</v>
          </cell>
          <cell r="C18">
            <v>25.5</v>
          </cell>
          <cell r="E18">
            <v>481910</v>
          </cell>
        </row>
        <row r="19">
          <cell r="B19" t="str">
            <v>11.50X6.50X7.50'' - 7PLY BOX</v>
          </cell>
          <cell r="C19">
            <v>27.38</v>
          </cell>
          <cell r="E19">
            <v>481910</v>
          </cell>
        </row>
        <row r="20">
          <cell r="B20" t="str">
            <v>11.50X6.50X7.50'' - 7PLY BUFFER SET</v>
          </cell>
          <cell r="C20">
            <v>9.59</v>
          </cell>
          <cell r="E20">
            <v>481910</v>
          </cell>
        </row>
        <row r="21">
          <cell r="B21" t="str">
            <v>11.50X7.50X9.50'' - 7ply Box (220 gsm)</v>
          </cell>
          <cell r="C21">
            <v>63.35</v>
          </cell>
          <cell r="E21">
            <v>481910</v>
          </cell>
        </row>
        <row r="22">
          <cell r="B22" t="str">
            <v>11.50X7X7.50'' - 7PLY BOX</v>
          </cell>
          <cell r="C22">
            <v>39.799999999999997</v>
          </cell>
          <cell r="E22">
            <v>481910</v>
          </cell>
        </row>
        <row r="23">
          <cell r="B23" t="str">
            <v>11.50X7X9.50'' - 5ply Box waterman Inner</v>
          </cell>
          <cell r="C23">
            <v>19.5</v>
          </cell>
          <cell r="E23">
            <v>481910</v>
          </cell>
        </row>
        <row r="24">
          <cell r="B24" t="str">
            <v>11.50x7x9.50'' -5ply Box OPTIMA</v>
          </cell>
          <cell r="C24">
            <v>19.5</v>
          </cell>
          <cell r="E24">
            <v>481910</v>
          </cell>
        </row>
        <row r="25">
          <cell r="B25" t="str">
            <v>11.75X7X9.50'' - 5PLY BOX</v>
          </cell>
          <cell r="C25">
            <v>20.190000000000001</v>
          </cell>
          <cell r="E25">
            <v>481910</v>
          </cell>
        </row>
        <row r="26">
          <cell r="B26" t="str">
            <v xml:space="preserve">11¼ x 6¾ x 8½" - 5ply box </v>
          </cell>
          <cell r="C26">
            <v>21.84</v>
          </cell>
          <cell r="E26">
            <v>481910</v>
          </cell>
        </row>
        <row r="27">
          <cell r="B27" t="str">
            <v>11¾ x 6¾ x 8½ - 5ply Box</v>
          </cell>
          <cell r="C27">
            <v>21.84</v>
          </cell>
          <cell r="E27">
            <v>481910</v>
          </cell>
        </row>
        <row r="28">
          <cell r="B28" t="str">
            <v xml:space="preserve">1120x700x250mm - 7ply box </v>
          </cell>
          <cell r="C28">
            <v>460</v>
          </cell>
          <cell r="D28" t="str">
            <v>[100813]</v>
          </cell>
          <cell r="E28">
            <v>481910</v>
          </cell>
        </row>
        <row r="29">
          <cell r="B29" t="str">
            <v>1120x700x420mm - 7ply box</v>
          </cell>
          <cell r="C29">
            <v>641</v>
          </cell>
          <cell r="D29" t="str">
            <v>[100500]</v>
          </cell>
          <cell r="E29">
            <v>481910</v>
          </cell>
        </row>
        <row r="30">
          <cell r="B30" t="str">
            <v>1120x700x560mm - 7ply box</v>
          </cell>
          <cell r="C30">
            <v>712</v>
          </cell>
          <cell r="D30" t="str">
            <v>[100495]</v>
          </cell>
          <cell r="E30">
            <v>481910</v>
          </cell>
        </row>
        <row r="31">
          <cell r="B31" t="str">
            <v>1180X780X480MM -7PLY BOX WITH COVER</v>
          </cell>
          <cell r="C31">
            <v>873.24</v>
          </cell>
          <cell r="E31">
            <v>481910</v>
          </cell>
        </row>
        <row r="32">
          <cell r="B32" t="str">
            <v>1180X780X500MM - 7PLY BOX WITH PAD SET</v>
          </cell>
          <cell r="C32">
            <v>1525</v>
          </cell>
          <cell r="E32">
            <v>481910</v>
          </cell>
        </row>
        <row r="33">
          <cell r="B33" t="str">
            <v>11X11X20CM- 3 PLY BOX</v>
          </cell>
          <cell r="C33">
            <v>8.8000000000000007</v>
          </cell>
          <cell r="E33">
            <v>481910</v>
          </cell>
        </row>
        <row r="34">
          <cell r="B34" t="str">
            <v>11X7X8.25'' TWSR 0.50HP BOX</v>
          </cell>
          <cell r="C34">
            <v>19</v>
          </cell>
          <cell r="E34">
            <v>481910</v>
          </cell>
        </row>
        <row r="35">
          <cell r="B35" t="str">
            <v>11X7X9'' -5ply Box [Lakshmi Engin]</v>
          </cell>
          <cell r="C35">
            <v>26.8</v>
          </cell>
          <cell r="E35">
            <v>481910</v>
          </cell>
        </row>
        <row r="36">
          <cell r="B36" t="str">
            <v>11X7X9''- 5PLY MAJESTICE BOX</v>
          </cell>
          <cell r="C36">
            <v>18.5</v>
          </cell>
          <cell r="E36">
            <v>481910</v>
          </cell>
        </row>
        <row r="37">
          <cell r="B37" t="str">
            <v>11x7x9" - 5ply box [UNNATI]</v>
          </cell>
          <cell r="C37">
            <v>18.5</v>
          </cell>
          <cell r="E37">
            <v>481910</v>
          </cell>
        </row>
        <row r="38">
          <cell r="B38" t="str">
            <v>11x7x9.25''-5ply Box Xtaton</v>
          </cell>
          <cell r="C38">
            <v>24.5</v>
          </cell>
          <cell r="E38">
            <v>481910</v>
          </cell>
        </row>
        <row r="39">
          <cell r="B39" t="str">
            <v>11x7x9.25''-5ply Box Xtaton</v>
          </cell>
          <cell r="C39">
            <v>23</v>
          </cell>
        </row>
        <row r="40">
          <cell r="B40" t="str">
            <v>12.50X6.50'' - 7PLY PAD</v>
          </cell>
          <cell r="C40">
            <v>4.5</v>
          </cell>
          <cell r="E40">
            <v>481910</v>
          </cell>
        </row>
        <row r="41">
          <cell r="B41" t="str">
            <v>12.50X7.75X10.75'' - 5PLY BOX WITH BUFFER</v>
          </cell>
          <cell r="C41">
            <v>48</v>
          </cell>
          <cell r="E41">
            <v>481910</v>
          </cell>
        </row>
        <row r="42">
          <cell r="B42" t="str">
            <v>12.50X7X11.50'' - 7PLY BOX</v>
          </cell>
          <cell r="C42">
            <v>49.92</v>
          </cell>
          <cell r="E42">
            <v>481910</v>
          </cell>
        </row>
        <row r="43">
          <cell r="B43" t="str">
            <v>12.50X7X9.50'' - 5PLY BOX</v>
          </cell>
          <cell r="C43">
            <v>20.190000000000001</v>
          </cell>
          <cell r="E43">
            <v>481910</v>
          </cell>
        </row>
        <row r="44">
          <cell r="B44" t="str">
            <v>12.75X11.50'' - 5PLY PAD</v>
          </cell>
          <cell r="C44">
            <v>3.2</v>
          </cell>
          <cell r="E44">
            <v>481910</v>
          </cell>
        </row>
        <row r="45">
          <cell r="B45" t="str">
            <v>12.75x7.50+8''-7ply gresing pad</v>
          </cell>
          <cell r="C45">
            <v>8.06</v>
          </cell>
          <cell r="E45">
            <v>481910</v>
          </cell>
        </row>
        <row r="46">
          <cell r="B46" t="str">
            <v>12.75X7X9'' -5PLY L PAD</v>
          </cell>
          <cell r="C46">
            <v>6.11</v>
          </cell>
          <cell r="E46">
            <v>481910</v>
          </cell>
        </row>
        <row r="47">
          <cell r="B47" t="str">
            <v>12.75X8.50X11'' - 7Ply Box</v>
          </cell>
          <cell r="C47">
            <v>44.82</v>
          </cell>
          <cell r="E47">
            <v>481910</v>
          </cell>
        </row>
        <row r="48">
          <cell r="B48" t="str">
            <v>12.75x8.50x11'' -BUFFER SET WITH PAD</v>
          </cell>
          <cell r="C48">
            <v>38.5</v>
          </cell>
          <cell r="E48">
            <v>481910</v>
          </cell>
        </row>
        <row r="49">
          <cell r="B49" t="str">
            <v>12.75x9.75x10.75'' - 5ply Box</v>
          </cell>
          <cell r="C49">
            <v>25</v>
          </cell>
          <cell r="E49">
            <v>481910</v>
          </cell>
        </row>
        <row r="50">
          <cell r="B50" t="str">
            <v>1200x800x250mm - 7ply Box with cover</v>
          </cell>
          <cell r="C50">
            <v>560</v>
          </cell>
          <cell r="E50">
            <v>481910</v>
          </cell>
        </row>
        <row r="51">
          <cell r="B51" t="str">
            <v>1200x800x450mm - 7ply box with cover</v>
          </cell>
          <cell r="C51">
            <v>784</v>
          </cell>
          <cell r="D51" t="str">
            <v>[100492]</v>
          </cell>
          <cell r="E51">
            <v>481910</v>
          </cell>
        </row>
        <row r="52">
          <cell r="B52" t="str">
            <v>1200x800x450mm- 7ply cover</v>
          </cell>
          <cell r="C52">
            <v>264</v>
          </cell>
          <cell r="D52" t="str">
            <v>[100447]</v>
          </cell>
          <cell r="E52">
            <v>481910</v>
          </cell>
        </row>
        <row r="53">
          <cell r="B53" t="str">
            <v>1200x800x500mm - 7 ply box with cover</v>
          </cell>
          <cell r="C53">
            <v>835</v>
          </cell>
          <cell r="D53" t="str">
            <v>[100499]</v>
          </cell>
          <cell r="E53">
            <v>481910</v>
          </cell>
        </row>
        <row r="54">
          <cell r="B54" t="str">
            <v>12¾ x 7½ x 9¼ " - 7ply pad</v>
          </cell>
          <cell r="C54">
            <v>9</v>
          </cell>
          <cell r="E54">
            <v>481910</v>
          </cell>
        </row>
        <row r="55">
          <cell r="B55" t="str">
            <v>12X11.25X15.25'' -5PLY M.S BOX W.P</v>
          </cell>
          <cell r="C55">
            <v>54.5</v>
          </cell>
          <cell r="E55">
            <v>481910</v>
          </cell>
        </row>
        <row r="56">
          <cell r="B56" t="str">
            <v>12X11.25X15.25'' -5PLY M.S BOX W.P</v>
          </cell>
          <cell r="C56">
            <v>54.5</v>
          </cell>
          <cell r="E56">
            <v>481910</v>
          </cell>
        </row>
        <row r="57">
          <cell r="B57" t="str">
            <v>12X11X12'' - 7ply waterman Box</v>
          </cell>
          <cell r="C57">
            <v>70.680000000000007</v>
          </cell>
          <cell r="E57">
            <v>481910</v>
          </cell>
        </row>
        <row r="58">
          <cell r="B58" t="str">
            <v>12x26" - 3ply pad</v>
          </cell>
          <cell r="C58">
            <v>3.6</v>
          </cell>
          <cell r="E58">
            <v>481910</v>
          </cell>
        </row>
        <row r="59">
          <cell r="B59" t="str">
            <v>12x34" - 3ply pad</v>
          </cell>
          <cell r="C59">
            <v>4.6500000000000004</v>
          </cell>
          <cell r="E59">
            <v>481910</v>
          </cell>
        </row>
        <row r="60">
          <cell r="B60" t="str">
            <v>12X7.25X10'' UNNATI INNER BOX 180GSM</v>
          </cell>
          <cell r="C60">
            <v>25.95</v>
          </cell>
          <cell r="E60">
            <v>481910</v>
          </cell>
        </row>
        <row r="61">
          <cell r="B61" t="str">
            <v>12x7.25x9.25'' water man white Box</v>
          </cell>
          <cell r="C61">
            <v>36.729999999999997</v>
          </cell>
          <cell r="E61">
            <v>481910</v>
          </cell>
        </row>
        <row r="62">
          <cell r="B62" t="str">
            <v>12x9x7½" - 7ply box w/ buffer set</v>
          </cell>
          <cell r="C62">
            <v>102</v>
          </cell>
          <cell r="E62">
            <v>481910</v>
          </cell>
        </row>
        <row r="63">
          <cell r="B63" t="str">
            <v>13.25X7.50X9.50'' - 7PLY L PAD</v>
          </cell>
          <cell r="C63">
            <v>9.7100000000000009</v>
          </cell>
          <cell r="E63">
            <v>481910</v>
          </cell>
        </row>
        <row r="64">
          <cell r="B64" t="str">
            <v>13.50 7.50'' - 5PLY PAD</v>
          </cell>
          <cell r="C64">
            <v>3.7</v>
          </cell>
          <cell r="E64">
            <v>481910</v>
          </cell>
        </row>
        <row r="65">
          <cell r="B65" t="str">
            <v>13.50X7.50'' - 5PLY PAD</v>
          </cell>
          <cell r="C65">
            <v>3.43</v>
          </cell>
          <cell r="E65">
            <v>481910</v>
          </cell>
        </row>
        <row r="66">
          <cell r="B66" t="str">
            <v>13.50X7.50'' -7PLY PAD</v>
          </cell>
          <cell r="C66">
            <v>4.8600000000000003</v>
          </cell>
          <cell r="E66">
            <v>481910</v>
          </cell>
        </row>
        <row r="67">
          <cell r="B67" t="str">
            <v>13.50X7.50X10.25'' - 5PLY WHITE BOX</v>
          </cell>
          <cell r="C67">
            <v>35.78</v>
          </cell>
          <cell r="E67">
            <v>481910</v>
          </cell>
        </row>
        <row r="68">
          <cell r="B68" t="str">
            <v>13.50X7.50X9'' -7PLY  L  PAD</v>
          </cell>
          <cell r="C68">
            <v>8.75</v>
          </cell>
          <cell r="E68">
            <v>481910</v>
          </cell>
        </row>
        <row r="69">
          <cell r="B69" t="str">
            <v>13.50x8'' - 7ply pad</v>
          </cell>
          <cell r="C69">
            <v>4.83</v>
          </cell>
          <cell r="E69">
            <v>481910</v>
          </cell>
        </row>
        <row r="70">
          <cell r="B70" t="str">
            <v>13.50X8X10.25'' - 5 PLY BOX</v>
          </cell>
          <cell r="C70">
            <v>28.5</v>
          </cell>
          <cell r="E70">
            <v>481910</v>
          </cell>
        </row>
        <row r="71">
          <cell r="B71" t="str">
            <v>13.50X8X10.25'' - 5PLY WHITE BOX</v>
          </cell>
          <cell r="C71">
            <v>36.700000000000003</v>
          </cell>
          <cell r="E71">
            <v>481910</v>
          </cell>
        </row>
        <row r="72">
          <cell r="B72" t="str">
            <v>13.50x9.50x10.50'' - 7ply 220 Gsm Box With priting</v>
          </cell>
          <cell r="C72">
            <v>83.22</v>
          </cell>
          <cell r="E72">
            <v>481910</v>
          </cell>
        </row>
        <row r="73">
          <cell r="B73" t="str">
            <v>13.50x9.50x10.50'' - Buffer Set</v>
          </cell>
          <cell r="C73">
            <v>32</v>
          </cell>
          <cell r="E73">
            <v>481910</v>
          </cell>
        </row>
        <row r="74">
          <cell r="B74" t="str">
            <v>13.50X9.50X10.50'' -7PLY BOX</v>
          </cell>
          <cell r="C74">
            <v>58.76</v>
          </cell>
          <cell r="E74">
            <v>481910</v>
          </cell>
        </row>
        <row r="75">
          <cell r="B75" t="str">
            <v>13.50x9x10.50'' - 7ply Box</v>
          </cell>
          <cell r="C75">
            <v>46.41</v>
          </cell>
          <cell r="E75">
            <v>481910</v>
          </cell>
        </row>
        <row r="76">
          <cell r="B76" t="str">
            <v>13¼ x 7¾" - 5ply pad</v>
          </cell>
          <cell r="C76">
            <v>3.9</v>
          </cell>
          <cell r="E76">
            <v>481910</v>
          </cell>
        </row>
        <row r="77">
          <cell r="B77" t="str">
            <v>13X10.50X18'' - 5ply Water Man 4x1 Box</v>
          </cell>
          <cell r="C77">
            <v>49</v>
          </cell>
          <cell r="E77">
            <v>481910</v>
          </cell>
        </row>
        <row r="78">
          <cell r="B78" t="str">
            <v>13x35'' - 3ply pad</v>
          </cell>
          <cell r="C78">
            <v>8.9</v>
          </cell>
          <cell r="E78">
            <v>481910</v>
          </cell>
        </row>
        <row r="79">
          <cell r="B79" t="str">
            <v>13X6.75X9'' - 7ply Box</v>
          </cell>
          <cell r="C79">
            <v>33.369999999999997</v>
          </cell>
          <cell r="E79">
            <v>481910</v>
          </cell>
        </row>
        <row r="80">
          <cell r="B80" t="str">
            <v>13X7.50'' - 5PLY PAD</v>
          </cell>
          <cell r="C80">
            <v>3.7</v>
          </cell>
          <cell r="E80">
            <v>481910</v>
          </cell>
        </row>
        <row r="81">
          <cell r="B81" t="str">
            <v>13X8'' - 5PLY PAD</v>
          </cell>
          <cell r="C81">
            <v>2.2999999999999998</v>
          </cell>
          <cell r="E81">
            <v>481910</v>
          </cell>
        </row>
        <row r="82">
          <cell r="B82" t="str">
            <v>13x8.50'' -7ply pad</v>
          </cell>
          <cell r="C82">
            <v>5.26</v>
          </cell>
          <cell r="E82">
            <v>481910</v>
          </cell>
        </row>
        <row r="83">
          <cell r="B83" t="str">
            <v>13x8x8'' - 7ply L tipb pad</v>
          </cell>
          <cell r="C83">
            <v>8</v>
          </cell>
          <cell r="E83">
            <v>481910</v>
          </cell>
        </row>
        <row r="84">
          <cell r="B84" t="str">
            <v>13x9x9½" - 7ply box w/ buffer set</v>
          </cell>
          <cell r="C84">
            <v>117.3</v>
          </cell>
          <cell r="E84">
            <v>481910</v>
          </cell>
        </row>
        <row r="85">
          <cell r="B85" t="str">
            <v>14.50X10.75X10.50'' - LAKSHMI M.S BOX</v>
          </cell>
          <cell r="C85">
            <v>42.81</v>
          </cell>
          <cell r="E85">
            <v>481910</v>
          </cell>
        </row>
        <row r="86">
          <cell r="B86" t="str">
            <v>14.50X9X12'' - 7PLY BOX</v>
          </cell>
          <cell r="C86">
            <v>57.8</v>
          </cell>
          <cell r="E86">
            <v>481910</v>
          </cell>
        </row>
        <row r="87">
          <cell r="B87" t="str">
            <v>14.50X9X9.75'' - 7PLY BOX WITH BUFFER SET</v>
          </cell>
          <cell r="C87">
            <v>71</v>
          </cell>
          <cell r="E87">
            <v>481910</v>
          </cell>
        </row>
        <row r="88">
          <cell r="B88" t="str">
            <v>14.75x11.50 - 7ply Pad</v>
          </cell>
          <cell r="C88">
            <v>7.74</v>
          </cell>
          <cell r="E88">
            <v>481910</v>
          </cell>
        </row>
        <row r="89">
          <cell r="B89" t="str">
            <v>140X140X80MM WHITE BOX</v>
          </cell>
          <cell r="C89">
            <v>7.8</v>
          </cell>
          <cell r="E89">
            <v>481910</v>
          </cell>
        </row>
        <row r="90">
          <cell r="B90" t="str">
            <v>14¼ x 8½ x 13" - 7ply box with buffer set</v>
          </cell>
          <cell r="C90">
            <v>111.73</v>
          </cell>
          <cell r="E90">
            <v>481910</v>
          </cell>
        </row>
        <row r="91">
          <cell r="B91" t="str">
            <v>14½ x 10½ x 11" - 7ply box w/ buffer set</v>
          </cell>
          <cell r="C91">
            <v>145.72</v>
          </cell>
          <cell r="E91">
            <v>481910</v>
          </cell>
        </row>
        <row r="92">
          <cell r="B92" t="str">
            <v>14½ x 12 x 4½" - 5ply box - M.Box</v>
          </cell>
          <cell r="C92">
            <v>49.78</v>
          </cell>
          <cell r="E92">
            <v>481910</v>
          </cell>
        </row>
        <row r="93">
          <cell r="B93" t="str">
            <v xml:space="preserve">14½ x12x9½" - 5ply Box </v>
          </cell>
          <cell r="C93">
            <v>49.78</v>
          </cell>
          <cell r="E93">
            <v>481910</v>
          </cell>
        </row>
        <row r="94">
          <cell r="B94" t="str">
            <v>14X7X9.50'' - WHITE BOX</v>
          </cell>
          <cell r="C94">
            <v>38.5</v>
          </cell>
          <cell r="E94">
            <v>481910</v>
          </cell>
        </row>
        <row r="95">
          <cell r="B95" t="str">
            <v>14X8.50X10.50'' - 5ply Box</v>
          </cell>
          <cell r="C95">
            <v>34.5</v>
          </cell>
          <cell r="E95">
            <v>481910</v>
          </cell>
        </row>
        <row r="96">
          <cell r="B96" t="str">
            <v>14x8.50x8'' - 7ply box (220 gsm)</v>
          </cell>
          <cell r="C96">
            <v>72.3</v>
          </cell>
          <cell r="E96">
            <v>481910</v>
          </cell>
        </row>
        <row r="97">
          <cell r="B97" t="str">
            <v>14x8x4" - 5 ply box</v>
          </cell>
          <cell r="C97">
            <v>25.9</v>
          </cell>
          <cell r="E97">
            <v>481910</v>
          </cell>
        </row>
        <row r="98">
          <cell r="B98" t="str">
            <v>14x9.50x9.50" - 7ply 220 Gsm box</v>
          </cell>
          <cell r="C98">
            <v>103</v>
          </cell>
          <cell r="E98">
            <v>481910</v>
          </cell>
        </row>
        <row r="99">
          <cell r="B99" t="str">
            <v>15.25x10.50x10'' - 7ply box (220 gsm)</v>
          </cell>
          <cell r="C99">
            <v>103.3</v>
          </cell>
          <cell r="E99">
            <v>481910</v>
          </cell>
        </row>
        <row r="100">
          <cell r="B100" t="str">
            <v>15.25X11.50X10'' -5PLY BOX UNNATI .50HP M.S</v>
          </cell>
          <cell r="C100">
            <v>41.5</v>
          </cell>
          <cell r="E100">
            <v>481910</v>
          </cell>
        </row>
        <row r="101">
          <cell r="B101" t="str">
            <v>15.25X11.50X9.75'' - 5ply Box Unnati .50hp</v>
          </cell>
          <cell r="C101">
            <v>41.5</v>
          </cell>
          <cell r="E101">
            <v>481910</v>
          </cell>
        </row>
        <row r="102">
          <cell r="B102" t="str">
            <v>15.25x7.25x12 -5ply WHITE CON BOX</v>
          </cell>
          <cell r="C102">
            <v>59.87</v>
          </cell>
          <cell r="E102">
            <v>481910</v>
          </cell>
        </row>
        <row r="103">
          <cell r="B103" t="str">
            <v>15.25X9.50X11'' 220GSM BOX WITH BUFFER</v>
          </cell>
          <cell r="C103">
            <v>133</v>
          </cell>
          <cell r="E103">
            <v>481910</v>
          </cell>
        </row>
        <row r="104">
          <cell r="B104" t="str">
            <v>15.50x11.75x10.75'' - 5ply precicraft m.s Box</v>
          </cell>
          <cell r="C104">
            <v>46.25</v>
          </cell>
          <cell r="E104">
            <v>481910</v>
          </cell>
        </row>
        <row r="105">
          <cell r="B105" t="str">
            <v>15.50X12.50X10.75'' - 5PLY BOX UNNATI</v>
          </cell>
          <cell r="C105">
            <v>48.8</v>
          </cell>
          <cell r="E105">
            <v>481910</v>
          </cell>
        </row>
        <row r="106">
          <cell r="B106" t="str">
            <v>15.50X12X10.50'' WATERMAN M.S BOX</v>
          </cell>
          <cell r="C106">
            <v>46.5</v>
          </cell>
          <cell r="E106">
            <v>481910</v>
          </cell>
        </row>
        <row r="107">
          <cell r="B107" t="str">
            <v>15.50x12x10.50''-5ply OPTIMA M.S Box</v>
          </cell>
          <cell r="C107">
            <v>45.5</v>
          </cell>
          <cell r="E107">
            <v>481910</v>
          </cell>
        </row>
        <row r="108">
          <cell r="B108" t="str">
            <v>15.50x12x13'' - 5ply Box</v>
          </cell>
          <cell r="C108">
            <v>68</v>
          </cell>
          <cell r="E108">
            <v>481910</v>
          </cell>
        </row>
        <row r="109">
          <cell r="B109" t="str">
            <v>15.50X13.50X12.50'' - 7PLY BOX</v>
          </cell>
          <cell r="C109">
            <v>113.65</v>
          </cell>
          <cell r="E109">
            <v>481910</v>
          </cell>
        </row>
        <row r="110">
          <cell r="B110" t="str">
            <v>15.50X7.25X12'' -5PLY CONPAC WHITE BOX</v>
          </cell>
          <cell r="C110">
            <v>59.87</v>
          </cell>
          <cell r="E110">
            <v>481910</v>
          </cell>
        </row>
        <row r="111">
          <cell r="B111" t="str">
            <v>15.50x8.50x10'' - 7ply Gresing pad</v>
          </cell>
          <cell r="C111">
            <v>7.6</v>
          </cell>
          <cell r="E111">
            <v>481910</v>
          </cell>
        </row>
        <row r="112">
          <cell r="B112" t="str">
            <v>15.75x12.50x11.25'' - 5ply Box</v>
          </cell>
          <cell r="C112">
            <v>68.66</v>
          </cell>
          <cell r="E112">
            <v>481910</v>
          </cell>
        </row>
        <row r="113">
          <cell r="B113" t="str">
            <v>15.75X9.75'' - 7PLY PAD</v>
          </cell>
          <cell r="C113">
            <v>5.71</v>
          </cell>
          <cell r="E113">
            <v>481910</v>
          </cell>
        </row>
        <row r="114">
          <cell r="B114" t="str">
            <v>15¼ x 12½ x 10¾" - 5ply [UNNATI] master box</v>
          </cell>
          <cell r="C114">
            <v>44</v>
          </cell>
          <cell r="E114">
            <v>481910</v>
          </cell>
        </row>
        <row r="115">
          <cell r="B115" t="str">
            <v>15½ x 10½ x 11" - 7ply box w/ buffer set</v>
          </cell>
          <cell r="C115">
            <v>145.72</v>
          </cell>
          <cell r="E115">
            <v>481910</v>
          </cell>
        </row>
        <row r="116">
          <cell r="B116" t="str">
            <v>15X11.50X10'' - 5PLY LAKSHMI M. B</v>
          </cell>
          <cell r="C116">
            <v>42.9</v>
          </cell>
          <cell r="E116">
            <v>481910</v>
          </cell>
        </row>
        <row r="117">
          <cell r="B117" t="str">
            <v>15X13X10.50'' - 5PLY BOX</v>
          </cell>
          <cell r="C117">
            <v>48.3</v>
          </cell>
          <cell r="E117">
            <v>481910</v>
          </cell>
        </row>
        <row r="118">
          <cell r="B118" t="str">
            <v>15x13x7'' - 5ply Box</v>
          </cell>
          <cell r="C118">
            <v>55.6</v>
          </cell>
          <cell r="E118">
            <v>481910</v>
          </cell>
        </row>
        <row r="119">
          <cell r="B119" t="str">
            <v>15X14.50X10.50 '' - WHITE BOX</v>
          </cell>
          <cell r="C119">
            <v>83.71</v>
          </cell>
          <cell r="E119">
            <v>481910</v>
          </cell>
        </row>
        <row r="120">
          <cell r="B120" t="str">
            <v>15x9x5'' - 5ply Box</v>
          </cell>
          <cell r="C120">
            <v>30</v>
          </cell>
          <cell r="E120">
            <v>481910</v>
          </cell>
        </row>
        <row r="121">
          <cell r="B121" t="str">
            <v>16.25x13.75x10.25'' - 5ply Box ( M.J )</v>
          </cell>
          <cell r="E121">
            <v>481910</v>
          </cell>
        </row>
        <row r="122">
          <cell r="B122" t="str">
            <v>16.50X10.50'' - 7PLY PAD</v>
          </cell>
          <cell r="C122">
            <v>6.43</v>
          </cell>
          <cell r="E122">
            <v>481910</v>
          </cell>
        </row>
        <row r="123">
          <cell r="B123" t="str">
            <v>16.50X10.50X30'' - 5PLY BOX</v>
          </cell>
          <cell r="C123">
            <v>76.78</v>
          </cell>
          <cell r="E123">
            <v>481910</v>
          </cell>
        </row>
        <row r="124">
          <cell r="B124" t="str">
            <v>16.50X7.75'' - 9PLY PAD</v>
          </cell>
          <cell r="C124">
            <v>7.75</v>
          </cell>
          <cell r="E124">
            <v>481910</v>
          </cell>
        </row>
        <row r="125">
          <cell r="B125" t="str">
            <v>16.50x9.25'' -7ply pad</v>
          </cell>
          <cell r="C125">
            <v>6.73</v>
          </cell>
          <cell r="E125">
            <v>481910</v>
          </cell>
        </row>
        <row r="126">
          <cell r="B126" t="str">
            <v>16.75X8.50X8.50'' -5PLY PAD</v>
          </cell>
          <cell r="C126">
            <v>6.5</v>
          </cell>
          <cell r="E126">
            <v>481910</v>
          </cell>
        </row>
        <row r="127">
          <cell r="B127" t="str">
            <v>160x160x90mm - 3ply Box</v>
          </cell>
          <cell r="C127">
            <v>5.75</v>
          </cell>
          <cell r="E127">
            <v>481910</v>
          </cell>
        </row>
        <row r="128">
          <cell r="B128" t="str">
            <v>16½ x 7½ x 9½" - 7ply box Shallow Well</v>
          </cell>
          <cell r="C128">
            <v>49</v>
          </cell>
          <cell r="E128">
            <v>481910</v>
          </cell>
        </row>
        <row r="129">
          <cell r="B129" t="str">
            <v>16X13.75X10.75'' -5PLY BOX</v>
          </cell>
          <cell r="C129">
            <v>60.5</v>
          </cell>
          <cell r="E129">
            <v>481910</v>
          </cell>
        </row>
        <row r="130">
          <cell r="B130" t="str">
            <v>16X14X11.50'' - 5PLY BOX</v>
          </cell>
          <cell r="C130">
            <v>58.7</v>
          </cell>
          <cell r="E130">
            <v>481910</v>
          </cell>
        </row>
        <row r="131">
          <cell r="B131" t="str">
            <v>16X5.50''  White Duplx Borad</v>
          </cell>
          <cell r="C131">
            <v>1.05</v>
          </cell>
          <cell r="E131">
            <v>481910</v>
          </cell>
        </row>
        <row r="132">
          <cell r="B132" t="str">
            <v>16X7.25 - 13PLY PAD,BUFFER SET</v>
          </cell>
          <cell r="C132">
            <v>23</v>
          </cell>
          <cell r="E132">
            <v>481910</v>
          </cell>
        </row>
        <row r="133">
          <cell r="B133" t="str">
            <v>16X7X9.75 - 9PLY L PAD</v>
          </cell>
          <cell r="C133">
            <v>10.99</v>
          </cell>
          <cell r="E133">
            <v>481910</v>
          </cell>
        </row>
        <row r="134">
          <cell r="B134" t="str">
            <v>16X7X9.75'' -5PLY L PAD</v>
          </cell>
          <cell r="C134">
            <v>10.99</v>
          </cell>
          <cell r="E134">
            <v>481910</v>
          </cell>
        </row>
        <row r="135">
          <cell r="B135" t="str">
            <v>16x8.25x11.50'' - 5ply Box</v>
          </cell>
          <cell r="C135">
            <v>62.5</v>
          </cell>
          <cell r="E135">
            <v>481910</v>
          </cell>
        </row>
        <row r="136">
          <cell r="B136" t="str">
            <v>16x9'' - 7ply pad</v>
          </cell>
          <cell r="C136">
            <v>4.9000000000000004</v>
          </cell>
          <cell r="E136">
            <v>481910</v>
          </cell>
        </row>
        <row r="137">
          <cell r="B137" t="str">
            <v>16X9.50X11'' - 7PLY BOX</v>
          </cell>
          <cell r="C137">
            <v>84.68</v>
          </cell>
          <cell r="E137">
            <v>481910</v>
          </cell>
        </row>
        <row r="138">
          <cell r="B138" t="str">
            <v>16X9.50X26.50'' 5PLY BOX</v>
          </cell>
          <cell r="C138">
            <v>64.81</v>
          </cell>
          <cell r="E138">
            <v>481910</v>
          </cell>
        </row>
        <row r="139">
          <cell r="B139" t="str">
            <v>16x9x8'' - 7ply L tipe pad</v>
          </cell>
          <cell r="C139">
            <v>9.75</v>
          </cell>
          <cell r="E139">
            <v>481910</v>
          </cell>
        </row>
        <row r="140">
          <cell r="B140" t="str">
            <v>17.25X8X9.75 W.M BUFFER SET</v>
          </cell>
          <cell r="C140">
            <v>25.3</v>
          </cell>
          <cell r="E140">
            <v>481910</v>
          </cell>
        </row>
        <row r="141">
          <cell r="B141" t="str">
            <v>17.25X8X9.75'' W.M SHALLOWELL PUMP</v>
          </cell>
          <cell r="C141">
            <v>32.33</v>
          </cell>
          <cell r="E141">
            <v>481910</v>
          </cell>
        </row>
        <row r="142">
          <cell r="B142" t="str">
            <v>17.50X17.50X13'' WHITE BOX</v>
          </cell>
          <cell r="C142">
            <v>65</v>
          </cell>
          <cell r="E142">
            <v>481910</v>
          </cell>
        </row>
        <row r="143">
          <cell r="B143" t="str">
            <v>17.50X7.75'' - 9PLY PAD</v>
          </cell>
          <cell r="C143">
            <v>8.15</v>
          </cell>
          <cell r="E143">
            <v>481910</v>
          </cell>
        </row>
        <row r="144">
          <cell r="B144" t="str">
            <v>17.50X9X10'' - 5PLY BOX</v>
          </cell>
          <cell r="C144">
            <v>44.2</v>
          </cell>
          <cell r="E144">
            <v>481910</v>
          </cell>
        </row>
        <row r="145">
          <cell r="B145" t="str">
            <v>17x10.25x10.75'' - 7ply Box</v>
          </cell>
          <cell r="C145">
            <v>59.93</v>
          </cell>
          <cell r="E145">
            <v>481910</v>
          </cell>
        </row>
        <row r="146">
          <cell r="B146" t="str">
            <v>17X10X13.50'' - 9PLY WATER MAN BUFFER SET</v>
          </cell>
          <cell r="C146">
            <v>59.45</v>
          </cell>
          <cell r="E146">
            <v>481910</v>
          </cell>
        </row>
        <row r="147">
          <cell r="B147" t="str">
            <v>17X10X13.50'' - 9PLY WHITE BOX</v>
          </cell>
          <cell r="C147">
            <v>114.41</v>
          </cell>
          <cell r="E147">
            <v>481910</v>
          </cell>
        </row>
        <row r="148">
          <cell r="B148" t="str">
            <v>17X11X12'' - 9PLY PSG BOX</v>
          </cell>
          <cell r="C148">
            <v>89.67</v>
          </cell>
          <cell r="E148">
            <v>481910</v>
          </cell>
        </row>
        <row r="149">
          <cell r="B149" t="str">
            <v>17x12.75x11'' - 5ply Box PSG</v>
          </cell>
          <cell r="C149">
            <v>59.9</v>
          </cell>
          <cell r="E149">
            <v>481910</v>
          </cell>
        </row>
        <row r="150">
          <cell r="B150" t="str">
            <v>17X14.25X11.25'' - 7PLY W.P BOX</v>
          </cell>
          <cell r="C150">
            <v>94.75</v>
          </cell>
          <cell r="E150">
            <v>481910</v>
          </cell>
        </row>
        <row r="151">
          <cell r="B151" t="str">
            <v>17X7.50X10'' - 7PLY  L  PAD</v>
          </cell>
          <cell r="C151">
            <v>11.3</v>
          </cell>
          <cell r="E151">
            <v>481910</v>
          </cell>
        </row>
        <row r="152">
          <cell r="B152" t="str">
            <v>17x9.75x11'' - 7ply Box</v>
          </cell>
          <cell r="C152">
            <v>62.5</v>
          </cell>
          <cell r="E152">
            <v>481910</v>
          </cell>
        </row>
        <row r="153">
          <cell r="B153" t="str">
            <v>18.50X8.50X12.25''-7PLY WHITE BOX</v>
          </cell>
          <cell r="C153">
            <v>70.2</v>
          </cell>
          <cell r="E153">
            <v>481910</v>
          </cell>
        </row>
        <row r="154">
          <cell r="B154" t="str">
            <v>180x150mm - 5ply pad</v>
          </cell>
          <cell r="C154">
            <v>1.67</v>
          </cell>
          <cell r="E154">
            <v>481910</v>
          </cell>
        </row>
        <row r="155">
          <cell r="B155" t="str">
            <v>1860x910x435 -7ply Sleeve With Cap Box</v>
          </cell>
          <cell r="C155">
            <v>400</v>
          </cell>
          <cell r="E155">
            <v>481910</v>
          </cell>
        </row>
        <row r="156">
          <cell r="B156" t="str">
            <v>18x18x14'' - 5ply Box</v>
          </cell>
          <cell r="C156">
            <v>106.75</v>
          </cell>
          <cell r="E156">
            <v>481910</v>
          </cell>
        </row>
        <row r="157">
          <cell r="B157" t="str">
            <v>18x18x21cm - 5ply box</v>
          </cell>
          <cell r="C157">
            <v>23.3</v>
          </cell>
          <cell r="E157">
            <v>481910</v>
          </cell>
        </row>
        <row r="158">
          <cell r="B158" t="str">
            <v>1910X1050X470 -7ply Sleeve With Cap Box</v>
          </cell>
          <cell r="C158">
            <v>430</v>
          </cell>
          <cell r="E158">
            <v>481910</v>
          </cell>
        </row>
        <row r="159">
          <cell r="B159" t="str">
            <v>195x45x240mm - 3ply White Box</v>
          </cell>
          <cell r="C159">
            <v>8.9</v>
          </cell>
          <cell r="E159">
            <v>481910</v>
          </cell>
        </row>
        <row r="160">
          <cell r="B160" t="str">
            <v>1967X1172MM - 5PLY COVER</v>
          </cell>
          <cell r="C160">
            <v>230</v>
          </cell>
          <cell r="E160">
            <v>481910</v>
          </cell>
        </row>
        <row r="161">
          <cell r="B161" t="str">
            <v>19x19x12cm - 5ply box</v>
          </cell>
          <cell r="C161">
            <v>22</v>
          </cell>
          <cell r="E161">
            <v>481910</v>
          </cell>
        </row>
        <row r="162">
          <cell r="B162" t="str">
            <v>19x19x21" - 7ply gunny box</v>
          </cell>
          <cell r="C162">
            <v>394</v>
          </cell>
          <cell r="E162">
            <v>481910</v>
          </cell>
        </row>
        <row r="163">
          <cell r="B163" t="str">
            <v>19X19X27.50'' - 7PLY GUNNY BOX</v>
          </cell>
          <cell r="C163">
            <v>427</v>
          </cell>
          <cell r="E163">
            <v>481910</v>
          </cell>
        </row>
        <row r="164">
          <cell r="B164" t="str">
            <v>19X9.75X12.25''- 7ply 220gsmbox buffer set</v>
          </cell>
          <cell r="C164">
            <v>140</v>
          </cell>
          <cell r="E164">
            <v>481910</v>
          </cell>
        </row>
        <row r="165">
          <cell r="B165" t="str">
            <v>2 Ply Corrugated Roll</v>
          </cell>
          <cell r="C165">
            <v>49</v>
          </cell>
          <cell r="E165">
            <v>481910</v>
          </cell>
        </row>
        <row r="166">
          <cell r="B166" t="str">
            <v>2 ply liner</v>
          </cell>
          <cell r="C166">
            <v>56</v>
          </cell>
          <cell r="E166">
            <v>481910</v>
          </cell>
        </row>
        <row r="167">
          <cell r="B167" t="str">
            <v>2 ply linge roll</v>
          </cell>
          <cell r="C167">
            <v>58</v>
          </cell>
          <cell r="E167">
            <v>481910</v>
          </cell>
        </row>
        <row r="168">
          <cell r="B168" t="str">
            <v>20x11½x8½" - 5ply box</v>
          </cell>
          <cell r="C168">
            <v>63.95</v>
          </cell>
          <cell r="E168">
            <v>481910</v>
          </cell>
        </row>
        <row r="169">
          <cell r="B169" t="str">
            <v>210X160X200 MM - 7PLY BOX</v>
          </cell>
          <cell r="C169">
            <v>26.87</v>
          </cell>
          <cell r="E169">
            <v>481910</v>
          </cell>
        </row>
        <row r="170">
          <cell r="B170" t="str">
            <v>210x160x200mm - 7ply box with pad</v>
          </cell>
          <cell r="C170">
            <v>33.869999999999997</v>
          </cell>
          <cell r="E170">
            <v>481910</v>
          </cell>
        </row>
        <row r="171">
          <cell r="B171" t="str">
            <v>210x210x315mm - 7ply box with pad</v>
          </cell>
          <cell r="C171">
            <v>43.5</v>
          </cell>
          <cell r="E171">
            <v>481910</v>
          </cell>
        </row>
        <row r="172">
          <cell r="B172" t="str">
            <v>210x210x315mm -7ply box</v>
          </cell>
          <cell r="C172">
            <v>36.57</v>
          </cell>
          <cell r="E172">
            <v>481910</v>
          </cell>
        </row>
        <row r="173">
          <cell r="B173" t="str">
            <v>215x215mm - 3ply pad</v>
          </cell>
          <cell r="C173">
            <v>0.98</v>
          </cell>
          <cell r="E173">
            <v>481910</v>
          </cell>
        </row>
        <row r="174">
          <cell r="B174" t="str">
            <v>22.50X17.25X4.75'' - 3ply Box</v>
          </cell>
          <cell r="C174">
            <v>56.5</v>
          </cell>
          <cell r="E174">
            <v>481910</v>
          </cell>
        </row>
        <row r="175">
          <cell r="B175" t="str">
            <v>2200MM Corner Angle Board</v>
          </cell>
          <cell r="C175">
            <v>55</v>
          </cell>
          <cell r="E175">
            <v>481910</v>
          </cell>
        </row>
        <row r="176">
          <cell r="B176" t="str">
            <v>220X110X210 MM- 3PLY CONPAC BOX</v>
          </cell>
          <cell r="C176">
            <v>18.88</v>
          </cell>
          <cell r="E176">
            <v>481910</v>
          </cell>
        </row>
        <row r="177">
          <cell r="B177" t="str">
            <v>220x220mm - 3ply pad</v>
          </cell>
          <cell r="C177">
            <v>1.1599999999999999</v>
          </cell>
          <cell r="E177">
            <v>481910</v>
          </cell>
        </row>
        <row r="178">
          <cell r="B178" t="str">
            <v>22X13.50X9.50'' - 7PLY BOX 220GSM</v>
          </cell>
          <cell r="C178">
            <v>151.91</v>
          </cell>
          <cell r="E178">
            <v>481910</v>
          </cell>
        </row>
        <row r="179">
          <cell r="B179" t="str">
            <v>22X17X12'' - 5ply Box</v>
          </cell>
          <cell r="C179">
            <v>78.819999999999993</v>
          </cell>
          <cell r="E179">
            <v>481910</v>
          </cell>
        </row>
        <row r="180">
          <cell r="B180" t="str">
            <v>22X17X12cm - 5ply box</v>
          </cell>
          <cell r="C180">
            <v>19.5</v>
          </cell>
          <cell r="E180">
            <v>481910</v>
          </cell>
        </row>
        <row r="181">
          <cell r="B181" t="str">
            <v>22X17X13'' - 5PLY WHITE BOX</v>
          </cell>
          <cell r="C181">
            <v>118.7</v>
          </cell>
          <cell r="E181">
            <v>481910</v>
          </cell>
        </row>
        <row r="182">
          <cell r="B182" t="str">
            <v>22x17x18'' - 5ply Box</v>
          </cell>
          <cell r="C182">
            <v>96.5</v>
          </cell>
          <cell r="E182">
            <v>481910</v>
          </cell>
        </row>
        <row r="183">
          <cell r="B183" t="str">
            <v>22X17X18'' - 5PLY WHITE BOX</v>
          </cell>
          <cell r="C183">
            <v>129.55000000000001</v>
          </cell>
          <cell r="E183">
            <v>481910</v>
          </cell>
        </row>
        <row r="184">
          <cell r="B184" t="str">
            <v>22X19.50X13'' - 5PLY WHITE BOX</v>
          </cell>
          <cell r="C184">
            <v>125</v>
          </cell>
          <cell r="E184">
            <v>481910</v>
          </cell>
        </row>
        <row r="185">
          <cell r="B185" t="str">
            <v>22x22x23cm - 5ply Box</v>
          </cell>
          <cell r="C185">
            <v>27.42</v>
          </cell>
          <cell r="E185">
            <v>481910</v>
          </cell>
        </row>
        <row r="186">
          <cell r="B186" t="str">
            <v>22x22x27cm - 5ply Box</v>
          </cell>
          <cell r="C186">
            <v>36.409999999999997</v>
          </cell>
          <cell r="E186">
            <v>481910</v>
          </cell>
        </row>
        <row r="187">
          <cell r="B187" t="str">
            <v>22x22x31 CM - 5ply Box</v>
          </cell>
          <cell r="C187">
            <v>45.16</v>
          </cell>
          <cell r="E187">
            <v>481910</v>
          </cell>
        </row>
        <row r="188">
          <cell r="B188" t="str">
            <v>230x230mm - 3ply pad</v>
          </cell>
          <cell r="C188">
            <v>1.08</v>
          </cell>
          <cell r="E188">
            <v>481910</v>
          </cell>
        </row>
        <row r="189">
          <cell r="B189" t="str">
            <v>23X18X20'' - 5PLY WHITE BOX</v>
          </cell>
          <cell r="C189">
            <v>154.80000000000001</v>
          </cell>
          <cell r="E189">
            <v>481910</v>
          </cell>
        </row>
        <row r="190">
          <cell r="B190" t="str">
            <v>23x23x14 CM - 5ply Box</v>
          </cell>
          <cell r="C190">
            <v>35.869999999999997</v>
          </cell>
          <cell r="E190">
            <v>481910</v>
          </cell>
        </row>
        <row r="191">
          <cell r="B191" t="str">
            <v>240x160mm - 3ply pad</v>
          </cell>
          <cell r="C191">
            <v>0.87</v>
          </cell>
          <cell r="E191">
            <v>481910</v>
          </cell>
        </row>
        <row r="192">
          <cell r="B192" t="str">
            <v>240x170x60mm - 3plt punchin box</v>
          </cell>
          <cell r="C192">
            <v>9.83</v>
          </cell>
          <cell r="E192">
            <v>481910</v>
          </cell>
        </row>
        <row r="193">
          <cell r="B193" t="str">
            <v>240x240mm -3ply pad</v>
          </cell>
          <cell r="C193">
            <v>1.3</v>
          </cell>
          <cell r="E193">
            <v>481910</v>
          </cell>
        </row>
        <row r="194">
          <cell r="B194" t="str">
            <v>245X145X185MM -5PLY BOX</v>
          </cell>
          <cell r="C194">
            <v>15.87</v>
          </cell>
          <cell r="E194">
            <v>481910</v>
          </cell>
        </row>
        <row r="195">
          <cell r="B195" t="str">
            <v>24x12" - 3ply pad</v>
          </cell>
          <cell r="C195">
            <v>3.74</v>
          </cell>
          <cell r="E195">
            <v>481910</v>
          </cell>
        </row>
        <row r="196">
          <cell r="B196" t="str">
            <v>24x18.25x37'' - 5ply Box</v>
          </cell>
          <cell r="C196">
            <v>126</v>
          </cell>
          <cell r="E196">
            <v>481910</v>
          </cell>
        </row>
        <row r="197">
          <cell r="B197" t="str">
            <v>24X24X10 CM - 5PLY BOX</v>
          </cell>
          <cell r="C197">
            <v>31.26</v>
          </cell>
          <cell r="E197">
            <v>481910</v>
          </cell>
        </row>
        <row r="198">
          <cell r="B198" t="str">
            <v>24x24x17cm - 5ply Box</v>
          </cell>
          <cell r="C198">
            <v>28.67</v>
          </cell>
          <cell r="E198">
            <v>481910</v>
          </cell>
        </row>
        <row r="199">
          <cell r="B199" t="str">
            <v>24x24x18cm - 5ply box</v>
          </cell>
          <cell r="C199">
            <v>32.299999999999997</v>
          </cell>
          <cell r="E199">
            <v>481910</v>
          </cell>
        </row>
        <row r="200">
          <cell r="B200" t="str">
            <v>24x24x19cm - 5ply Box</v>
          </cell>
          <cell r="C200">
            <v>35.08</v>
          </cell>
          <cell r="E200">
            <v>481910</v>
          </cell>
        </row>
        <row r="201">
          <cell r="B201" t="str">
            <v>24X24X20cm - 5ply Box</v>
          </cell>
          <cell r="C201">
            <v>32.4</v>
          </cell>
          <cell r="E201">
            <v>481910</v>
          </cell>
        </row>
        <row r="202">
          <cell r="B202" t="str">
            <v>24x24x24cm - 5ply Box</v>
          </cell>
          <cell r="C202">
            <v>35.42</v>
          </cell>
          <cell r="E202">
            <v>481910</v>
          </cell>
        </row>
        <row r="203">
          <cell r="B203" t="str">
            <v>24x24x27cm - 5ply Box</v>
          </cell>
          <cell r="C203">
            <v>39.74</v>
          </cell>
          <cell r="E203">
            <v>481910</v>
          </cell>
        </row>
        <row r="204">
          <cell r="B204" t="str">
            <v>250x140x185mm - 5ply Box with pad</v>
          </cell>
          <cell r="C204">
            <v>16</v>
          </cell>
          <cell r="E204">
            <v>481910</v>
          </cell>
        </row>
        <row r="205">
          <cell r="B205" t="str">
            <v>250x150mm -5ply pad</v>
          </cell>
          <cell r="C205">
            <v>2.34</v>
          </cell>
          <cell r="E205">
            <v>481910</v>
          </cell>
        </row>
        <row r="206">
          <cell r="B206" t="str">
            <v>250x250mm - 3ply pad</v>
          </cell>
          <cell r="C206">
            <v>1.35</v>
          </cell>
          <cell r="E206">
            <v>481910</v>
          </cell>
        </row>
        <row r="207">
          <cell r="B207" t="str">
            <v>253x55x370mm - 3ply Stainless Steel Box</v>
          </cell>
          <cell r="C207">
            <v>37.65</v>
          </cell>
          <cell r="E207">
            <v>481910</v>
          </cell>
        </row>
        <row r="208">
          <cell r="B208" t="str">
            <v>25X17X23 CM - 5PLY BOX</v>
          </cell>
          <cell r="C208">
            <v>35.53</v>
          </cell>
          <cell r="E208">
            <v>481910</v>
          </cell>
        </row>
        <row r="209">
          <cell r="B209" t="str">
            <v>25X20X17'' -5PLY BOX</v>
          </cell>
          <cell r="C209">
            <v>121.3</v>
          </cell>
          <cell r="E209">
            <v>481910</v>
          </cell>
        </row>
        <row r="210">
          <cell r="B210" t="str">
            <v>25X25X21CM - 5PLY BOX</v>
          </cell>
          <cell r="C210">
            <v>38.94</v>
          </cell>
          <cell r="E210">
            <v>481910</v>
          </cell>
        </row>
        <row r="211">
          <cell r="B211" t="str">
            <v>25x25x25cm - 5ply Box</v>
          </cell>
          <cell r="C211">
            <v>40.5</v>
          </cell>
          <cell r="E211">
            <v>481910</v>
          </cell>
        </row>
        <row r="212">
          <cell r="B212" t="str">
            <v>260x135x100mm - 3ply box</v>
          </cell>
          <cell r="C212">
            <v>6.9</v>
          </cell>
          <cell r="E212">
            <v>481910</v>
          </cell>
        </row>
        <row r="213">
          <cell r="B213" t="str">
            <v>260X135X110mm - 3ply Box</v>
          </cell>
          <cell r="C213">
            <v>7.3</v>
          </cell>
          <cell r="E213">
            <v>481910</v>
          </cell>
        </row>
        <row r="214">
          <cell r="B214" t="str">
            <v>260X135X135MM - 5PLY BOX</v>
          </cell>
          <cell r="C214">
            <v>20.5</v>
          </cell>
          <cell r="E214">
            <v>481910</v>
          </cell>
        </row>
        <row r="215">
          <cell r="B215" t="str">
            <v>260X170X245MM - 5PLY LAKSHMI BOX</v>
          </cell>
          <cell r="C215">
            <v>18.3</v>
          </cell>
          <cell r="E215">
            <v>481910</v>
          </cell>
        </row>
        <row r="216">
          <cell r="B216" t="str">
            <v>260X260X60MM- 5PLY BOX</v>
          </cell>
          <cell r="C216">
            <v>25.6</v>
          </cell>
          <cell r="E216">
            <v>481910</v>
          </cell>
        </row>
        <row r="217">
          <cell r="B217" t="str">
            <v>265x265x145mm - 5ply box</v>
          </cell>
          <cell r="C217">
            <v>31.56</v>
          </cell>
          <cell r="E217">
            <v>481910</v>
          </cell>
        </row>
        <row r="218">
          <cell r="B218" t="str">
            <v>26X10.25X16'' - 3Ply Box</v>
          </cell>
          <cell r="C218">
            <v>61</v>
          </cell>
          <cell r="E218">
            <v>481910</v>
          </cell>
        </row>
        <row r="219">
          <cell r="B219" t="str">
            <v>26x26" - 3ply pad</v>
          </cell>
          <cell r="C219">
            <v>9.8000000000000007</v>
          </cell>
          <cell r="E219">
            <v>481910</v>
          </cell>
        </row>
        <row r="220">
          <cell r="B220" t="str">
            <v>26x34" - 3ply pad</v>
          </cell>
          <cell r="C220">
            <v>9.7200000000000006</v>
          </cell>
          <cell r="E220">
            <v>481910</v>
          </cell>
        </row>
        <row r="221">
          <cell r="B221" t="str">
            <v>278x168x235mm - 5ply 0.50HP inner box</v>
          </cell>
          <cell r="C221">
            <v>30</v>
          </cell>
          <cell r="E221">
            <v>481910</v>
          </cell>
        </row>
        <row r="222">
          <cell r="B222" t="str">
            <v>27X16X15CM - 5PLY BOX</v>
          </cell>
          <cell r="C222">
            <v>21.3</v>
          </cell>
          <cell r="E222">
            <v>481910</v>
          </cell>
        </row>
        <row r="223">
          <cell r="B223" t="str">
            <v>27X25X23CM - 5PLY BOX</v>
          </cell>
          <cell r="C223">
            <v>40.35</v>
          </cell>
          <cell r="E223">
            <v>481910</v>
          </cell>
        </row>
        <row r="224">
          <cell r="B224" t="str">
            <v>27x27x16 CM - 5ply Box</v>
          </cell>
          <cell r="C224">
            <v>42.9</v>
          </cell>
          <cell r="E224">
            <v>481910</v>
          </cell>
        </row>
        <row r="225">
          <cell r="B225" t="str">
            <v>280X220X160MM - 5PLY CON PAC BOX</v>
          </cell>
          <cell r="C225">
            <v>39.06</v>
          </cell>
          <cell r="E225">
            <v>481910</v>
          </cell>
        </row>
        <row r="226">
          <cell r="B226" t="str">
            <v>280x280mm - 3ply pad</v>
          </cell>
          <cell r="C226">
            <v>2.6</v>
          </cell>
          <cell r="E226">
            <v>481910</v>
          </cell>
        </row>
        <row r="227">
          <cell r="B227" t="str">
            <v>285x170x250mm - 5ply  MARI Box</v>
          </cell>
          <cell r="C227">
            <v>30.79</v>
          </cell>
          <cell r="E227">
            <v>481910</v>
          </cell>
        </row>
        <row r="228">
          <cell r="B228" t="str">
            <v>29.50x29.50x23CM - 5ply Box</v>
          </cell>
          <cell r="C228">
            <v>45.86</v>
          </cell>
          <cell r="E228">
            <v>481910</v>
          </cell>
        </row>
        <row r="229">
          <cell r="B229" t="str">
            <v>29.5x29.5x23cm - 5ply Box</v>
          </cell>
          <cell r="C229">
            <v>46.06</v>
          </cell>
          <cell r="E229">
            <v>481910</v>
          </cell>
        </row>
        <row r="230">
          <cell r="B230" t="str">
            <v>290x250x130mm - 3ply box</v>
          </cell>
          <cell r="C230">
            <v>21</v>
          </cell>
          <cell r="D230" t="str">
            <v>[100548]</v>
          </cell>
          <cell r="E230">
            <v>481910</v>
          </cell>
        </row>
        <row r="231">
          <cell r="B231" t="str">
            <v>290x290 MM - 3ply Pad</v>
          </cell>
          <cell r="C231">
            <v>1.81</v>
          </cell>
          <cell r="E231">
            <v>481910</v>
          </cell>
        </row>
        <row r="232">
          <cell r="B232" t="str">
            <v>29X20X21'' - 5ply Box</v>
          </cell>
          <cell r="C232">
            <v>190.72</v>
          </cell>
          <cell r="E232">
            <v>481910</v>
          </cell>
        </row>
        <row r="233">
          <cell r="B233" t="str">
            <v>2ply linge liner</v>
          </cell>
          <cell r="C233">
            <v>56</v>
          </cell>
          <cell r="E233">
            <v>481910</v>
          </cell>
        </row>
        <row r="234">
          <cell r="B234" t="str">
            <v>2ply linge roll</v>
          </cell>
          <cell r="C234">
            <v>58</v>
          </cell>
          <cell r="E234">
            <v>481910</v>
          </cell>
        </row>
        <row r="235">
          <cell r="B235" t="str">
            <v>2ply Roll</v>
          </cell>
          <cell r="C235">
            <v>58</v>
          </cell>
          <cell r="E235">
            <v>481910</v>
          </cell>
        </row>
        <row r="236">
          <cell r="B236" t="str">
            <v>300x200x230mm - 5ply Box</v>
          </cell>
          <cell r="C236">
            <v>29.5</v>
          </cell>
          <cell r="E236">
            <v>481910</v>
          </cell>
        </row>
        <row r="237">
          <cell r="B237" t="str">
            <v>300x250mm - 3ply pad</v>
          </cell>
          <cell r="C237">
            <v>1.63</v>
          </cell>
          <cell r="E237">
            <v>481910</v>
          </cell>
        </row>
        <row r="238">
          <cell r="B238" t="str">
            <v>300X275X115MM - 5PLY BOX</v>
          </cell>
          <cell r="C238">
            <v>40.130000000000003</v>
          </cell>
          <cell r="E238">
            <v>481910</v>
          </cell>
        </row>
        <row r="239">
          <cell r="B239" t="str">
            <v>300X300X300MM- 7PLY BOX</v>
          </cell>
          <cell r="C239">
            <v>71.5</v>
          </cell>
          <cell r="E239">
            <v>481910</v>
          </cell>
        </row>
        <row r="240">
          <cell r="B240" t="str">
            <v>305x185x255mm - 5ply box [UNNATI]</v>
          </cell>
          <cell r="C240">
            <v>19.5</v>
          </cell>
          <cell r="E240">
            <v>481910</v>
          </cell>
        </row>
        <row r="241">
          <cell r="B241" t="str">
            <v>305x280x245mm - 3ply Box</v>
          </cell>
          <cell r="C241">
            <v>24.5</v>
          </cell>
          <cell r="E241">
            <v>481910</v>
          </cell>
        </row>
        <row r="242">
          <cell r="B242" t="str">
            <v>305x280x355mm - 3ply box</v>
          </cell>
          <cell r="C242">
            <v>27.1</v>
          </cell>
          <cell r="E242">
            <v>481910</v>
          </cell>
        </row>
        <row r="243">
          <cell r="B243" t="str">
            <v>30x18x18'' - 5ply Box</v>
          </cell>
          <cell r="C243">
            <v>145.27000000000001</v>
          </cell>
          <cell r="E243">
            <v>481910</v>
          </cell>
        </row>
        <row r="244">
          <cell r="B244" t="str">
            <v>30X30X25CM - 5PLY BOX</v>
          </cell>
          <cell r="C244">
            <v>46.1</v>
          </cell>
          <cell r="E244">
            <v>481910</v>
          </cell>
        </row>
        <row r="245">
          <cell r="B245" t="str">
            <v>310x110x310mm MEGA MIG Box</v>
          </cell>
          <cell r="C245">
            <v>21.5</v>
          </cell>
          <cell r="E245">
            <v>481910</v>
          </cell>
        </row>
        <row r="246">
          <cell r="B246" t="str">
            <v>310x190mm - 3ply pad</v>
          </cell>
          <cell r="C246">
            <v>1.25</v>
          </cell>
          <cell r="E246">
            <v>481910</v>
          </cell>
        </row>
        <row r="247">
          <cell r="B247" t="str">
            <v>310x235x140mm - 7ply box</v>
          </cell>
          <cell r="C247">
            <v>34.68</v>
          </cell>
          <cell r="E247">
            <v>481910</v>
          </cell>
        </row>
        <row r="248">
          <cell r="B248" t="str">
            <v>310x260mm - 3ply pad</v>
          </cell>
          <cell r="C248">
            <v>1.71</v>
          </cell>
          <cell r="E248">
            <v>481910</v>
          </cell>
        </row>
        <row r="249">
          <cell r="B249" t="str">
            <v>313X270X110mm - 5ply box</v>
          </cell>
          <cell r="C249">
            <v>31.3</v>
          </cell>
          <cell r="E249">
            <v>481910</v>
          </cell>
        </row>
        <row r="250">
          <cell r="B250" t="str">
            <v>313x278x85mm - 5ply Box</v>
          </cell>
          <cell r="C250">
            <v>32.619999999999997</v>
          </cell>
          <cell r="E250">
            <v>481910</v>
          </cell>
        </row>
        <row r="251">
          <cell r="B251" t="str">
            <v>315x155x47mm - 5ply Box</v>
          </cell>
          <cell r="C251">
            <v>9.5</v>
          </cell>
          <cell r="E251">
            <v>481910</v>
          </cell>
        </row>
        <row r="252">
          <cell r="B252" t="str">
            <v>315x168x245mm - 5ply 1HP inner box</v>
          </cell>
          <cell r="C252">
            <v>36</v>
          </cell>
          <cell r="E252">
            <v>481910</v>
          </cell>
        </row>
        <row r="253">
          <cell r="B253" t="str">
            <v>315x173x173mm - 5ply Box</v>
          </cell>
          <cell r="C253">
            <v>24.05</v>
          </cell>
          <cell r="E253">
            <v>481910</v>
          </cell>
        </row>
        <row r="254">
          <cell r="B254" t="str">
            <v>315x185x225mm - 7ply Box</v>
          </cell>
          <cell r="C254">
            <v>34.56</v>
          </cell>
          <cell r="E254">
            <v>481910</v>
          </cell>
        </row>
        <row r="255">
          <cell r="B255" t="str">
            <v>315x290X255mm - 7ply Box</v>
          </cell>
          <cell r="C255">
            <v>55.48</v>
          </cell>
          <cell r="E255">
            <v>481910</v>
          </cell>
        </row>
        <row r="256">
          <cell r="B256" t="str">
            <v>315x290X255mm - 7ply Box</v>
          </cell>
          <cell r="E256">
            <v>481910</v>
          </cell>
        </row>
        <row r="257">
          <cell r="B257" t="str">
            <v>31X19X20CM -5PLY BOX</v>
          </cell>
          <cell r="C257">
            <v>24.98</v>
          </cell>
          <cell r="E257">
            <v>481910</v>
          </cell>
        </row>
        <row r="258">
          <cell r="B258" t="str">
            <v>31x20x19cm - 3ply Box</v>
          </cell>
          <cell r="C258">
            <v>13</v>
          </cell>
          <cell r="E258">
            <v>481910</v>
          </cell>
        </row>
        <row r="259">
          <cell r="B259" t="str">
            <v>31X27X32 CM -5PLY BOX</v>
          </cell>
          <cell r="C259">
            <v>57.49</v>
          </cell>
          <cell r="E259">
            <v>481910</v>
          </cell>
        </row>
        <row r="260">
          <cell r="B260" t="str">
            <v>31X28X22CM - 5PLY BOX W.PAD</v>
          </cell>
          <cell r="C260">
            <v>48.3</v>
          </cell>
          <cell r="E260">
            <v>481910</v>
          </cell>
        </row>
        <row r="261">
          <cell r="B261" t="str">
            <v>320x160mm - 3ply pad</v>
          </cell>
          <cell r="C261">
            <v>1.1000000000000001</v>
          </cell>
          <cell r="E261">
            <v>481910</v>
          </cell>
        </row>
        <row r="262">
          <cell r="B262" t="str">
            <v>320x270mm - 3ply pad</v>
          </cell>
          <cell r="C262">
            <v>1.87</v>
          </cell>
          <cell r="E262">
            <v>481910</v>
          </cell>
        </row>
        <row r="263">
          <cell r="B263" t="str">
            <v>32X20X9cm - 5ply Box</v>
          </cell>
          <cell r="C263">
            <v>35</v>
          </cell>
          <cell r="E263">
            <v>481910</v>
          </cell>
        </row>
        <row r="264">
          <cell r="B264" t="str">
            <v>32x27x10cm - 5ply Box</v>
          </cell>
          <cell r="C264">
            <v>42.55</v>
          </cell>
          <cell r="E264">
            <v>481910</v>
          </cell>
        </row>
        <row r="265">
          <cell r="B265" t="str">
            <v>32X32X18CM - 5PLY BOX WITH PAD</v>
          </cell>
          <cell r="C265">
            <v>102.5</v>
          </cell>
          <cell r="E265">
            <v>481910</v>
          </cell>
        </row>
        <row r="266">
          <cell r="B266" t="str">
            <v>330x185x240mm - 7 ply box</v>
          </cell>
          <cell r="C266">
            <v>34</v>
          </cell>
          <cell r="E266">
            <v>481910</v>
          </cell>
        </row>
        <row r="267">
          <cell r="B267" t="str">
            <v>330x330 mm -3ply pad</v>
          </cell>
          <cell r="C267">
            <v>2.2999999999999998</v>
          </cell>
          <cell r="E267">
            <v>481910</v>
          </cell>
        </row>
        <row r="268">
          <cell r="B268" t="str">
            <v>33X14X15CM - 5PLY BOX</v>
          </cell>
          <cell r="C268">
            <v>26.7</v>
          </cell>
          <cell r="E268">
            <v>481910</v>
          </cell>
        </row>
        <row r="269">
          <cell r="B269" t="str">
            <v>33X17X22 CM - 5PLY BOX</v>
          </cell>
          <cell r="C269">
            <v>39.68</v>
          </cell>
          <cell r="E269">
            <v>481910</v>
          </cell>
        </row>
        <row r="270">
          <cell r="B270" t="str">
            <v>33x20'' - 3ply pad</v>
          </cell>
          <cell r="C270">
            <v>9</v>
          </cell>
          <cell r="E270">
            <v>481910</v>
          </cell>
        </row>
        <row r="271">
          <cell r="B271" t="str">
            <v>33X28X24 CM - 5PLY BOX</v>
          </cell>
          <cell r="C271">
            <v>57.58</v>
          </cell>
          <cell r="E271">
            <v>481910</v>
          </cell>
        </row>
        <row r="272">
          <cell r="B272" t="str">
            <v>340X210X220MM - 5PLY CON PAC BOX</v>
          </cell>
          <cell r="C272">
            <v>45.81</v>
          </cell>
          <cell r="E272">
            <v>481910</v>
          </cell>
        </row>
        <row r="273">
          <cell r="B273" t="str">
            <v>340X220X320MM - 7PLY BOX</v>
          </cell>
          <cell r="C273">
            <v>46.99</v>
          </cell>
          <cell r="E273">
            <v>481910</v>
          </cell>
        </row>
        <row r="274">
          <cell r="B274" t="str">
            <v>345x345x90mm - 5ply box</v>
          </cell>
          <cell r="C274">
            <v>47.3</v>
          </cell>
          <cell r="E274">
            <v>481910</v>
          </cell>
        </row>
        <row r="275">
          <cell r="B275" t="str">
            <v>34X29X19CM - 5PLY BOX</v>
          </cell>
          <cell r="C275">
            <v>55.5</v>
          </cell>
          <cell r="E275">
            <v>481910</v>
          </cell>
        </row>
        <row r="276">
          <cell r="B276" t="str">
            <v>34x30" - 3ply pad</v>
          </cell>
          <cell r="C276">
            <v>13.08</v>
          </cell>
          <cell r="E276">
            <v>481910</v>
          </cell>
        </row>
        <row r="277">
          <cell r="B277" t="str">
            <v>34x32'' - 3ply pad</v>
          </cell>
          <cell r="C277">
            <v>14.64</v>
          </cell>
          <cell r="E277">
            <v>481910</v>
          </cell>
        </row>
        <row r="278">
          <cell r="B278" t="str">
            <v>34x34x12 CM -5ply Box</v>
          </cell>
          <cell r="C278">
            <v>53.18</v>
          </cell>
          <cell r="E278">
            <v>481910</v>
          </cell>
        </row>
        <row r="279">
          <cell r="B279" t="str">
            <v>34X34X26CM -5PLY BOX W.PAD</v>
          </cell>
          <cell r="C279">
            <v>67.12</v>
          </cell>
          <cell r="E279">
            <v>481910</v>
          </cell>
        </row>
        <row r="280">
          <cell r="B280" t="str">
            <v>35.50x13.50x9'' -5ply Box</v>
          </cell>
          <cell r="C280">
            <v>77.94</v>
          </cell>
          <cell r="E280">
            <v>481910</v>
          </cell>
        </row>
        <row r="281">
          <cell r="B281" t="str">
            <v>350x255mm - 3ply pad</v>
          </cell>
          <cell r="C281">
            <v>1.88</v>
          </cell>
          <cell r="E281">
            <v>481910</v>
          </cell>
        </row>
        <row r="282">
          <cell r="B282" t="str">
            <v>350X260X100 MM -5PLY BOX</v>
          </cell>
          <cell r="C282">
            <v>37.32</v>
          </cell>
          <cell r="E282">
            <v>481910</v>
          </cell>
        </row>
        <row r="283">
          <cell r="B283" t="str">
            <v>350X300X245MM - 3PLY CON PAC BOX</v>
          </cell>
          <cell r="C283">
            <v>43</v>
          </cell>
          <cell r="E283">
            <v>481910</v>
          </cell>
        </row>
        <row r="284">
          <cell r="B284" t="str">
            <v>350x320mm - 3ply pad</v>
          </cell>
          <cell r="C284">
            <v>2.62</v>
          </cell>
          <cell r="E284">
            <v>481910</v>
          </cell>
        </row>
        <row r="285">
          <cell r="B285" t="str">
            <v>350x335x190mm - 5ply Box</v>
          </cell>
          <cell r="C285">
            <v>68.5</v>
          </cell>
          <cell r="E285">
            <v>481910</v>
          </cell>
        </row>
        <row r="286">
          <cell r="B286" t="str">
            <v>350x335x290mm - 5ply box</v>
          </cell>
          <cell r="C286">
            <v>68.5</v>
          </cell>
          <cell r="E286">
            <v>481910</v>
          </cell>
        </row>
        <row r="287">
          <cell r="B287" t="str">
            <v>350X350X60MM - 5 PLY BOX</v>
          </cell>
          <cell r="C287">
            <v>48.62</v>
          </cell>
          <cell r="E287">
            <v>481910</v>
          </cell>
        </row>
        <row r="288">
          <cell r="B288" t="str">
            <v>355x290x265 mm - 5ply Box</v>
          </cell>
          <cell r="C288">
            <v>52.6</v>
          </cell>
          <cell r="E288">
            <v>481910</v>
          </cell>
        </row>
        <row r="289">
          <cell r="B289" t="str">
            <v>355x300x255 mm - 5ply Box</v>
          </cell>
          <cell r="C289">
            <v>47.9</v>
          </cell>
          <cell r="E289">
            <v>481910</v>
          </cell>
        </row>
        <row r="290">
          <cell r="B290" t="str">
            <v>355x335x270 mm- 5ply Box</v>
          </cell>
          <cell r="C290">
            <v>57</v>
          </cell>
          <cell r="E290">
            <v>481910</v>
          </cell>
        </row>
        <row r="291">
          <cell r="B291" t="str">
            <v>35X30X24CM - 5PLY BOX</v>
          </cell>
          <cell r="C291">
            <v>58.13</v>
          </cell>
          <cell r="E291">
            <v>481910</v>
          </cell>
        </row>
        <row r="292">
          <cell r="B292" t="str">
            <v>360x180mm - 3ply pad</v>
          </cell>
          <cell r="C292">
            <v>1.35</v>
          </cell>
          <cell r="E292">
            <v>481910</v>
          </cell>
        </row>
        <row r="293">
          <cell r="B293" t="str">
            <v>360x310mm - 3ply pad</v>
          </cell>
          <cell r="C293">
            <v>2.4500000000000002</v>
          </cell>
          <cell r="E293">
            <v>481910</v>
          </cell>
        </row>
        <row r="294">
          <cell r="B294" t="str">
            <v>365x230x170mm - 5ply box</v>
          </cell>
          <cell r="C294">
            <v>33.9</v>
          </cell>
          <cell r="E294">
            <v>481910</v>
          </cell>
        </row>
        <row r="295">
          <cell r="B295" t="str">
            <v>365x290x255mm - 5ply 0.5HP master box</v>
          </cell>
          <cell r="C295">
            <v>41</v>
          </cell>
          <cell r="E295">
            <v>481910</v>
          </cell>
        </row>
        <row r="296">
          <cell r="B296" t="str">
            <v>365x305x275mm - 5ply MARI Master Box</v>
          </cell>
          <cell r="C296">
            <v>44.62</v>
          </cell>
          <cell r="E296">
            <v>481910</v>
          </cell>
        </row>
        <row r="297">
          <cell r="B297" t="str">
            <v>365x330x268mm - 5ply 1HP master box</v>
          </cell>
          <cell r="C297">
            <v>46</v>
          </cell>
          <cell r="E297">
            <v>481910</v>
          </cell>
        </row>
        <row r="298">
          <cell r="B298" t="str">
            <v>36x18x18cm - 3ply Box</v>
          </cell>
          <cell r="C298">
            <v>30</v>
          </cell>
          <cell r="E298">
            <v>481910</v>
          </cell>
        </row>
        <row r="299">
          <cell r="B299" t="str">
            <v>36X24X15CM -5 PLY BOX</v>
          </cell>
          <cell r="C299">
            <v>74.5</v>
          </cell>
          <cell r="E299">
            <v>481910</v>
          </cell>
        </row>
        <row r="300">
          <cell r="B300" t="str">
            <v>36X27X13 CM - 5PLY BOX</v>
          </cell>
          <cell r="C300">
            <v>45.4</v>
          </cell>
          <cell r="E300">
            <v>481910</v>
          </cell>
        </row>
        <row r="301">
          <cell r="B301" t="str">
            <v>36x32x18cm - 5ply Box</v>
          </cell>
          <cell r="C301">
            <v>49.17</v>
          </cell>
          <cell r="E301">
            <v>481910</v>
          </cell>
        </row>
        <row r="302">
          <cell r="B302" t="str">
            <v>36x33x19cm - 5ply Box</v>
          </cell>
          <cell r="C302">
            <v>56.09</v>
          </cell>
          <cell r="E302">
            <v>481910</v>
          </cell>
        </row>
        <row r="303">
          <cell r="B303" t="str">
            <v>36X36X31 CM - 5PLY BOX</v>
          </cell>
          <cell r="C303">
            <v>79.44</v>
          </cell>
          <cell r="E303">
            <v>481910</v>
          </cell>
        </row>
        <row r="304">
          <cell r="B304" t="str">
            <v>370x160mm - 3ply pad</v>
          </cell>
          <cell r="C304">
            <v>1.44</v>
          </cell>
          <cell r="E304">
            <v>481910</v>
          </cell>
        </row>
        <row r="305">
          <cell r="B305" t="str">
            <v>370x180mm - 3ply pad</v>
          </cell>
          <cell r="C305">
            <v>1.46</v>
          </cell>
          <cell r="E305">
            <v>481910</v>
          </cell>
        </row>
        <row r="306">
          <cell r="B306" t="str">
            <v>370X180MM - 7PLY PAD</v>
          </cell>
          <cell r="C306">
            <v>4.2</v>
          </cell>
          <cell r="E306">
            <v>481910</v>
          </cell>
        </row>
        <row r="307">
          <cell r="B307" t="str">
            <v>370x180mm -5ply pad</v>
          </cell>
          <cell r="C307">
            <v>3</v>
          </cell>
          <cell r="E307">
            <v>481910</v>
          </cell>
        </row>
        <row r="308">
          <cell r="B308" t="str">
            <v>370x280mm - 3ply pad</v>
          </cell>
          <cell r="C308">
            <v>2.23</v>
          </cell>
          <cell r="E308">
            <v>481910</v>
          </cell>
        </row>
        <row r="309">
          <cell r="B309" t="str">
            <v>370X310X60MM - 5PLY BOX</v>
          </cell>
          <cell r="C309">
            <v>38.9</v>
          </cell>
          <cell r="E309">
            <v>481910</v>
          </cell>
        </row>
        <row r="310">
          <cell r="B310" t="str">
            <v>375x305x75mm - 5ply box</v>
          </cell>
          <cell r="C310">
            <v>42.2</v>
          </cell>
          <cell r="E310">
            <v>481910</v>
          </cell>
        </row>
        <row r="311">
          <cell r="B311" t="str">
            <v>375X320X260MM - 5PLY BOX</v>
          </cell>
          <cell r="C311">
            <v>60.56</v>
          </cell>
          <cell r="E311">
            <v>481910</v>
          </cell>
        </row>
        <row r="312">
          <cell r="B312" t="str">
            <v>37x19x25 CM - 5ply Box</v>
          </cell>
          <cell r="C312">
            <v>46.61</v>
          </cell>
          <cell r="E312">
            <v>481910</v>
          </cell>
        </row>
        <row r="313">
          <cell r="B313" t="str">
            <v>37X32X27 CM -5PLY BOX</v>
          </cell>
          <cell r="C313">
            <v>65.89</v>
          </cell>
          <cell r="E313">
            <v>481910</v>
          </cell>
        </row>
        <row r="314">
          <cell r="B314" t="str">
            <v>380x160mm - 3ply pad</v>
          </cell>
          <cell r="C314">
            <v>1.38</v>
          </cell>
          <cell r="E314">
            <v>481910</v>
          </cell>
        </row>
        <row r="315">
          <cell r="B315" t="str">
            <v>380x185x305mm - 7ply ZEN MARK Box</v>
          </cell>
          <cell r="C315">
            <v>66.5</v>
          </cell>
          <cell r="E315">
            <v>481910</v>
          </cell>
        </row>
        <row r="316">
          <cell r="B316" t="str">
            <v>380x210mm - 3ply pad</v>
          </cell>
          <cell r="C316">
            <v>1.9</v>
          </cell>
          <cell r="E316">
            <v>481910</v>
          </cell>
        </row>
        <row r="317">
          <cell r="B317" t="str">
            <v>385X310X90MM - 5PLY BOX</v>
          </cell>
          <cell r="C317">
            <v>41.43</v>
          </cell>
          <cell r="E317">
            <v>481910</v>
          </cell>
        </row>
        <row r="318">
          <cell r="B318" t="str">
            <v>385X385X63MM - 5PLY BOX</v>
          </cell>
          <cell r="C318">
            <v>55.77</v>
          </cell>
          <cell r="E318">
            <v>481910</v>
          </cell>
        </row>
        <row r="319">
          <cell r="B319" t="str">
            <v>387x305x65mm - 5ply box</v>
          </cell>
          <cell r="C319">
            <v>39.32</v>
          </cell>
          <cell r="E319">
            <v>481910</v>
          </cell>
        </row>
        <row r="320">
          <cell r="B320" t="str">
            <v>38x17x18cm - 5ply box</v>
          </cell>
          <cell r="C320">
            <v>28.99</v>
          </cell>
          <cell r="E320">
            <v>481910</v>
          </cell>
        </row>
        <row r="321">
          <cell r="B321" t="str">
            <v>38x17x18cm - 5ply box</v>
          </cell>
          <cell r="C321">
            <v>28.99</v>
          </cell>
          <cell r="E321">
            <v>481910</v>
          </cell>
        </row>
        <row r="322">
          <cell r="B322" t="str">
            <v>38X19X22 CM - 5PLY BOX</v>
          </cell>
          <cell r="C322">
            <v>44.57</v>
          </cell>
          <cell r="E322">
            <v>481910</v>
          </cell>
        </row>
        <row r="323">
          <cell r="B323" t="str">
            <v>38X29X24 CM - 5PLY BOX</v>
          </cell>
          <cell r="C323">
            <v>60.71</v>
          </cell>
          <cell r="E323">
            <v>481910</v>
          </cell>
        </row>
        <row r="324">
          <cell r="B324" t="str">
            <v>38X38X21CM -5PLY BOX W.PAD</v>
          </cell>
          <cell r="C324">
            <v>67.16</v>
          </cell>
          <cell r="E324">
            <v>481910</v>
          </cell>
        </row>
        <row r="325">
          <cell r="B325" t="str">
            <v>38X38X26CM -5PLY BOX W.PAD</v>
          </cell>
          <cell r="C325">
            <v>82.19</v>
          </cell>
          <cell r="E325">
            <v>481910</v>
          </cell>
        </row>
        <row r="326">
          <cell r="B326" t="str">
            <v>390x240x140mm - 5ply box</v>
          </cell>
          <cell r="C326">
            <v>38</v>
          </cell>
          <cell r="D326" t="str">
            <v>[100547]</v>
          </cell>
          <cell r="E326">
            <v>481910</v>
          </cell>
        </row>
        <row r="327">
          <cell r="B327" t="str">
            <v>390x310x90mm - 5ply Box</v>
          </cell>
          <cell r="C327">
            <v>40.299999999999997</v>
          </cell>
          <cell r="E327">
            <v>481910</v>
          </cell>
        </row>
        <row r="328">
          <cell r="B328" t="str">
            <v>390X390X205 MM - 5PLY WHITE BOX</v>
          </cell>
          <cell r="C328">
            <v>83.5</v>
          </cell>
          <cell r="E328">
            <v>481910</v>
          </cell>
        </row>
        <row r="329">
          <cell r="B329" t="str">
            <v>390x390x210mm - 3ply Box conpac</v>
          </cell>
          <cell r="C329">
            <v>54.2</v>
          </cell>
          <cell r="E329">
            <v>481910</v>
          </cell>
        </row>
        <row r="330">
          <cell r="B330" t="str">
            <v>390x590mm - 3ply pad</v>
          </cell>
          <cell r="C330">
            <v>5.45</v>
          </cell>
          <cell r="E330">
            <v>481910</v>
          </cell>
        </row>
        <row r="331">
          <cell r="B331" t="str">
            <v>395x245x100mm - 5ply Box</v>
          </cell>
          <cell r="C331">
            <v>34.56</v>
          </cell>
          <cell r="E331">
            <v>481910</v>
          </cell>
        </row>
        <row r="332">
          <cell r="B332" t="str">
            <v>395X275X120MM - 5PLY BOX</v>
          </cell>
          <cell r="C332">
            <v>39.5</v>
          </cell>
          <cell r="E332">
            <v>481910</v>
          </cell>
        </row>
        <row r="333">
          <cell r="B333" t="str">
            <v>39x17x18cm - 5ply Box</v>
          </cell>
          <cell r="C333">
            <v>27.1</v>
          </cell>
          <cell r="E333">
            <v>481910</v>
          </cell>
        </row>
        <row r="334">
          <cell r="B334" t="str">
            <v>39X35X26CM - 5PLY BOX</v>
          </cell>
          <cell r="C334">
            <v>71.5</v>
          </cell>
          <cell r="E334">
            <v>481910</v>
          </cell>
        </row>
        <row r="335">
          <cell r="B335" t="str">
            <v>39X39X21 CM - 5PLY CON PAC BOX</v>
          </cell>
          <cell r="C335">
            <v>77.8</v>
          </cell>
          <cell r="E335">
            <v>481910</v>
          </cell>
        </row>
        <row r="336">
          <cell r="B336" t="str">
            <v>40'' 2ply Roll</v>
          </cell>
          <cell r="C336">
            <v>49</v>
          </cell>
          <cell r="E336">
            <v>481910</v>
          </cell>
        </row>
        <row r="337">
          <cell r="B337" t="str">
            <v>400x210mm - 3ply pad</v>
          </cell>
          <cell r="C337">
            <v>1.72</v>
          </cell>
          <cell r="E337">
            <v>481910</v>
          </cell>
        </row>
        <row r="338">
          <cell r="B338" t="str">
            <v>400x275x120mm - 5ply box</v>
          </cell>
          <cell r="C338">
            <v>38.369999999999997</v>
          </cell>
          <cell r="E338">
            <v>481910</v>
          </cell>
        </row>
        <row r="339">
          <cell r="B339" t="str">
            <v>400x300mm - 3ply pad</v>
          </cell>
          <cell r="C339">
            <v>2.1</v>
          </cell>
          <cell r="E339">
            <v>481910</v>
          </cell>
        </row>
        <row r="340">
          <cell r="B340" t="str">
            <v>400X340X60MM - 5PLY BOX</v>
          </cell>
          <cell r="C340">
            <v>46.3</v>
          </cell>
          <cell r="E340">
            <v>481910</v>
          </cell>
        </row>
        <row r="341">
          <cell r="B341" t="str">
            <v>40x22.5x23cm - 5ply box</v>
          </cell>
          <cell r="C341">
            <v>43</v>
          </cell>
          <cell r="E341">
            <v>481910</v>
          </cell>
        </row>
        <row r="342">
          <cell r="B342" t="str">
            <v>40X27X18CM -5PLY BOX</v>
          </cell>
          <cell r="C342">
            <v>47.5</v>
          </cell>
          <cell r="E342">
            <v>481910</v>
          </cell>
        </row>
        <row r="343">
          <cell r="B343" t="str">
            <v>40X30X23CM -5PLY BOX</v>
          </cell>
          <cell r="C343">
            <v>60.1</v>
          </cell>
          <cell r="E343">
            <v>481910</v>
          </cell>
        </row>
        <row r="344">
          <cell r="B344" t="str">
            <v>410x258x268mm - 5ply box</v>
          </cell>
          <cell r="C344">
            <v>39.9</v>
          </cell>
          <cell r="E344">
            <v>481910</v>
          </cell>
        </row>
        <row r="345">
          <cell r="B345" t="str">
            <v>410X260X135mm - 5ply Box</v>
          </cell>
          <cell r="C345">
            <v>33.76</v>
          </cell>
          <cell r="E345">
            <v>481910</v>
          </cell>
        </row>
        <row r="346">
          <cell r="B346" t="str">
            <v>410x320x320mm - 5ply Box</v>
          </cell>
          <cell r="C346">
            <v>51.07</v>
          </cell>
          <cell r="E346">
            <v>481910</v>
          </cell>
        </row>
        <row r="347">
          <cell r="B347" t="str">
            <v>410X325X275 mm - 5ply Box</v>
          </cell>
          <cell r="C347">
            <v>62</v>
          </cell>
          <cell r="E347">
            <v>481910</v>
          </cell>
        </row>
        <row r="348">
          <cell r="B348" t="str">
            <v>410x330x90mm - 5ply Box</v>
          </cell>
          <cell r="C348">
            <v>40.840000000000003</v>
          </cell>
          <cell r="E348">
            <v>481910</v>
          </cell>
        </row>
        <row r="349">
          <cell r="B349" t="str">
            <v>415x258x153mm - 5ply box</v>
          </cell>
          <cell r="C349">
            <v>39.200000000000003</v>
          </cell>
          <cell r="E349">
            <v>481910</v>
          </cell>
        </row>
        <row r="350">
          <cell r="B350" t="str">
            <v>415x260x95mm - 5ply Box</v>
          </cell>
          <cell r="C350">
            <v>36.700000000000003</v>
          </cell>
          <cell r="E350">
            <v>481910</v>
          </cell>
        </row>
        <row r="351">
          <cell r="B351" t="str">
            <v>41x17x14'' - 7ply Box [ sakthi ]</v>
          </cell>
          <cell r="C351">
            <v>350</v>
          </cell>
          <cell r="E351">
            <v>481910</v>
          </cell>
        </row>
        <row r="352">
          <cell r="B352" t="str">
            <v>41x22x23cm - 5ply Box</v>
          </cell>
          <cell r="C352">
            <v>41.33</v>
          </cell>
          <cell r="E352">
            <v>481910</v>
          </cell>
        </row>
        <row r="353">
          <cell r="B353" t="str">
            <v>41x23x23cm - 5ply Box</v>
          </cell>
          <cell r="C353">
            <v>42</v>
          </cell>
          <cell r="E353">
            <v>481910</v>
          </cell>
        </row>
        <row r="354">
          <cell r="B354" t="str">
            <v>41x27x28cm -5ply Box</v>
          </cell>
          <cell r="C354">
            <v>51.13</v>
          </cell>
          <cell r="E354">
            <v>481910</v>
          </cell>
        </row>
        <row r="355">
          <cell r="B355" t="str">
            <v>41X32X28CM - 5PLY BOX</v>
          </cell>
          <cell r="C355">
            <v>70.33</v>
          </cell>
          <cell r="E355">
            <v>481910</v>
          </cell>
        </row>
        <row r="356">
          <cell r="B356" t="str">
            <v>420x160x200mm - 7ply box with pad</v>
          </cell>
          <cell r="C356">
            <v>57.3</v>
          </cell>
          <cell r="E356">
            <v>481910</v>
          </cell>
        </row>
        <row r="357">
          <cell r="B357" t="str">
            <v>420x160x200mm - 7ply box with pad</v>
          </cell>
          <cell r="C357">
            <v>57.3</v>
          </cell>
          <cell r="E357">
            <v>481910</v>
          </cell>
        </row>
        <row r="358">
          <cell r="B358" t="str">
            <v>420X160X200MM- 7PLY BOX</v>
          </cell>
          <cell r="C358">
            <v>50.3</v>
          </cell>
          <cell r="E358">
            <v>481910</v>
          </cell>
        </row>
        <row r="359">
          <cell r="B359" t="str">
            <v>420x210mm - 3ply pad</v>
          </cell>
          <cell r="C359">
            <v>1.99</v>
          </cell>
          <cell r="E359">
            <v>481910</v>
          </cell>
        </row>
        <row r="360">
          <cell r="B360" t="str">
            <v>420x265x290mm - 7ply Box</v>
          </cell>
          <cell r="C360">
            <v>78</v>
          </cell>
          <cell r="E360">
            <v>481910</v>
          </cell>
        </row>
        <row r="361">
          <cell r="B361" t="str">
            <v>420x300x60mm - 5ply box</v>
          </cell>
          <cell r="C361">
            <v>39.799999999999997</v>
          </cell>
          <cell r="E361">
            <v>481910</v>
          </cell>
        </row>
        <row r="362">
          <cell r="B362" t="str">
            <v>420x325mm - 3ply pad</v>
          </cell>
          <cell r="C362">
            <v>3.02</v>
          </cell>
          <cell r="E362">
            <v>481910</v>
          </cell>
        </row>
        <row r="363">
          <cell r="B363" t="str">
            <v>42X28X27CM - 5PLY BOX</v>
          </cell>
          <cell r="C363">
            <v>63.1</v>
          </cell>
          <cell r="E363">
            <v>481910</v>
          </cell>
        </row>
        <row r="364">
          <cell r="B364" t="str">
            <v>42x31x31cm - 5ply box</v>
          </cell>
          <cell r="C364">
            <v>77</v>
          </cell>
          <cell r="E364">
            <v>481910</v>
          </cell>
        </row>
        <row r="365">
          <cell r="B365" t="str">
            <v>42X40X20 CM - 5PLY BOX</v>
          </cell>
          <cell r="C365">
            <v>78.3</v>
          </cell>
          <cell r="E365">
            <v>481910</v>
          </cell>
        </row>
        <row r="366">
          <cell r="B366" t="str">
            <v>42X42X26CM - 5PLY BOX</v>
          </cell>
          <cell r="C366">
            <v>98.75</v>
          </cell>
          <cell r="E366">
            <v>481910</v>
          </cell>
        </row>
        <row r="367">
          <cell r="B367" t="str">
            <v>430x260mm - 3ply pad</v>
          </cell>
          <cell r="C367">
            <v>2.5</v>
          </cell>
          <cell r="E367">
            <v>481910</v>
          </cell>
        </row>
        <row r="368">
          <cell r="B368" t="str">
            <v>430x290x75mm - 5ply box</v>
          </cell>
          <cell r="C368">
            <v>42.71</v>
          </cell>
          <cell r="E368">
            <v>481910</v>
          </cell>
        </row>
        <row r="369">
          <cell r="B369" t="str">
            <v>430X290X80MM - 5PLY BOX</v>
          </cell>
          <cell r="C369">
            <v>42.8</v>
          </cell>
          <cell r="E369">
            <v>481910</v>
          </cell>
        </row>
        <row r="370">
          <cell r="B370" t="str">
            <v>430x300mm - 3ply pad</v>
          </cell>
          <cell r="C370">
            <v>2.5</v>
          </cell>
          <cell r="E370">
            <v>481910</v>
          </cell>
        </row>
        <row r="371">
          <cell r="B371" t="str">
            <v>430x302x145mm - 5ply box</v>
          </cell>
          <cell r="C371">
            <v>48.85</v>
          </cell>
          <cell r="E371">
            <v>481910</v>
          </cell>
        </row>
        <row r="372">
          <cell r="B372" t="str">
            <v>430x380mm - 3ply pad</v>
          </cell>
          <cell r="C372">
            <v>3.6</v>
          </cell>
          <cell r="E372">
            <v>481910</v>
          </cell>
        </row>
        <row r="373">
          <cell r="B373" t="str">
            <v>430x430mm - 3ply pad</v>
          </cell>
          <cell r="C373">
            <v>4.41</v>
          </cell>
          <cell r="E373">
            <v>481910</v>
          </cell>
        </row>
        <row r="374">
          <cell r="B374" t="str">
            <v>435x265x95mm - 5ply Box</v>
          </cell>
          <cell r="C374">
            <v>38.74</v>
          </cell>
          <cell r="E374">
            <v>481910</v>
          </cell>
        </row>
        <row r="375">
          <cell r="B375" t="str">
            <v>435X350X98 MM -5PLY BOX</v>
          </cell>
          <cell r="C375">
            <v>52.8</v>
          </cell>
          <cell r="E375">
            <v>481910</v>
          </cell>
        </row>
        <row r="376">
          <cell r="B376" t="str">
            <v>43X22X22 CM - 5PLY BOX</v>
          </cell>
          <cell r="C376">
            <v>51.7</v>
          </cell>
          <cell r="E376">
            <v>481910</v>
          </cell>
        </row>
        <row r="377">
          <cell r="B377" t="str">
            <v>43X34X19CM - 5ply Box</v>
          </cell>
          <cell r="C377">
            <v>70.53</v>
          </cell>
          <cell r="E377">
            <v>481910</v>
          </cell>
        </row>
        <row r="378">
          <cell r="B378" t="str">
            <v>44.50X20X21'' - 5PLY BOX</v>
          </cell>
          <cell r="C378">
            <v>281</v>
          </cell>
          <cell r="E378">
            <v>481910</v>
          </cell>
        </row>
        <row r="379">
          <cell r="B379" t="str">
            <v>440x185x145mm - 5 ply box</v>
          </cell>
          <cell r="C379">
            <v>31.42</v>
          </cell>
          <cell r="E379">
            <v>481910</v>
          </cell>
        </row>
        <row r="380">
          <cell r="B380" t="str">
            <v>440x210mm - 3ply pad</v>
          </cell>
          <cell r="C380">
            <v>1.99</v>
          </cell>
          <cell r="E380">
            <v>481910</v>
          </cell>
        </row>
        <row r="381">
          <cell r="B381" t="str">
            <v>440X240mm - 3ply pad</v>
          </cell>
          <cell r="C381">
            <v>2.35</v>
          </cell>
          <cell r="E381">
            <v>481910</v>
          </cell>
        </row>
        <row r="382">
          <cell r="B382" t="str">
            <v>44x20x22'' - 5ply Box</v>
          </cell>
          <cell r="C382">
            <v>281</v>
          </cell>
          <cell r="E382">
            <v>481910</v>
          </cell>
        </row>
        <row r="383">
          <cell r="B383" t="str">
            <v>44x27x28cm - 5ply box</v>
          </cell>
          <cell r="C383">
            <v>52.32</v>
          </cell>
          <cell r="E383">
            <v>481910</v>
          </cell>
        </row>
        <row r="384">
          <cell r="B384" t="str">
            <v>44x38x22CM - 5ply box</v>
          </cell>
          <cell r="C384">
            <v>74.56</v>
          </cell>
          <cell r="E384">
            <v>481910</v>
          </cell>
        </row>
        <row r="385">
          <cell r="B385" t="str">
            <v>44X40X32CM - 5ply box</v>
          </cell>
          <cell r="C385">
            <v>97.24</v>
          </cell>
          <cell r="E385">
            <v>481910</v>
          </cell>
        </row>
        <row r="386">
          <cell r="B386" t="str">
            <v>44x44x30cm - 5ply Box</v>
          </cell>
          <cell r="C386">
            <v>99.75</v>
          </cell>
          <cell r="E386">
            <v>481910</v>
          </cell>
        </row>
        <row r="387">
          <cell r="B387" t="str">
            <v>450x250x300 mm - 7ply Box (220gsm)</v>
          </cell>
          <cell r="C387">
            <v>130.63999999999999</v>
          </cell>
          <cell r="E387">
            <v>481910</v>
          </cell>
        </row>
        <row r="388">
          <cell r="B388" t="str">
            <v>450X350X125 mm - 7ply Box</v>
          </cell>
          <cell r="C388">
            <v>41</v>
          </cell>
          <cell r="E388">
            <v>481910</v>
          </cell>
        </row>
        <row r="389">
          <cell r="B389" t="str">
            <v>450X450X330MM WHITE BOX</v>
          </cell>
          <cell r="C389">
            <v>63.8</v>
          </cell>
          <cell r="E389">
            <v>481910</v>
          </cell>
        </row>
        <row r="390">
          <cell r="B390" t="str">
            <v>450X450X80MM - 5PLY BOX</v>
          </cell>
          <cell r="C390">
            <v>76.400000000000006</v>
          </cell>
          <cell r="E390">
            <v>481910</v>
          </cell>
        </row>
        <row r="391">
          <cell r="B391" t="str">
            <v>45X22X20 CM - 5PLY BOX</v>
          </cell>
          <cell r="C391">
            <v>51.1</v>
          </cell>
          <cell r="E391">
            <v>481910</v>
          </cell>
        </row>
        <row r="392">
          <cell r="B392" t="str">
            <v>45x25x25 CM - 5ply Box</v>
          </cell>
          <cell r="C392">
            <v>59.85</v>
          </cell>
          <cell r="E392">
            <v>481910</v>
          </cell>
        </row>
        <row r="393">
          <cell r="B393" t="str">
            <v>45X30X32CM - 5PLY BOX</v>
          </cell>
          <cell r="C393">
            <v>75.84</v>
          </cell>
          <cell r="E393">
            <v>481910</v>
          </cell>
        </row>
        <row r="394">
          <cell r="B394" t="str">
            <v>45x31x10cm - 3ply Box</v>
          </cell>
          <cell r="C394">
            <v>29.1</v>
          </cell>
          <cell r="E394">
            <v>481910</v>
          </cell>
        </row>
        <row r="395">
          <cell r="B395" t="str">
            <v>460x210mm - 3ply pad</v>
          </cell>
          <cell r="C395">
            <v>2.09</v>
          </cell>
          <cell r="E395">
            <v>481910</v>
          </cell>
        </row>
        <row r="396">
          <cell r="B396" t="str">
            <v>460X210mm - 3ply pad</v>
          </cell>
          <cell r="C396">
            <v>2.09</v>
          </cell>
          <cell r="E396">
            <v>481910</v>
          </cell>
        </row>
        <row r="397">
          <cell r="B397" t="str">
            <v>46X12X22'' - 5PLY BOX</v>
          </cell>
          <cell r="C397">
            <v>194.2</v>
          </cell>
          <cell r="E397">
            <v>481910</v>
          </cell>
        </row>
        <row r="398">
          <cell r="B398" t="str">
            <v>46X43X34CM - 5PLY BOX</v>
          </cell>
          <cell r="C398">
            <v>118.79</v>
          </cell>
          <cell r="E398">
            <v>481910</v>
          </cell>
        </row>
        <row r="399">
          <cell r="B399" t="str">
            <v>470x250mm - 3ply pad</v>
          </cell>
          <cell r="C399">
            <v>2.52</v>
          </cell>
          <cell r="E399">
            <v>481910</v>
          </cell>
        </row>
        <row r="400">
          <cell r="B400" t="str">
            <v>475X410X185mm - 7ply Box</v>
          </cell>
          <cell r="C400">
            <v>57.24</v>
          </cell>
          <cell r="E400">
            <v>481910</v>
          </cell>
        </row>
        <row r="401">
          <cell r="B401" t="str">
            <v>47X23X24 CM - 5PLY BOX</v>
          </cell>
          <cell r="C401">
            <v>55.81</v>
          </cell>
          <cell r="E401">
            <v>481910</v>
          </cell>
        </row>
        <row r="402">
          <cell r="B402" t="str">
            <v>47X31X41CM - 5PLY BOX</v>
          </cell>
          <cell r="C402">
            <v>91.68</v>
          </cell>
          <cell r="E402">
            <v>481910</v>
          </cell>
        </row>
        <row r="403">
          <cell r="B403" t="str">
            <v>485x297x178mm - 5ply box</v>
          </cell>
          <cell r="C403">
            <v>50.73</v>
          </cell>
          <cell r="E403">
            <v>481910</v>
          </cell>
        </row>
        <row r="404">
          <cell r="B404" t="str">
            <v>48X26X28 CM - 5PLY BOX</v>
          </cell>
          <cell r="C404">
            <v>68.8</v>
          </cell>
          <cell r="E404">
            <v>481910</v>
          </cell>
        </row>
        <row r="405">
          <cell r="B405" t="str">
            <v>48X48X23CM - 5PLY BOX W.PAD</v>
          </cell>
          <cell r="C405">
            <v>113.17</v>
          </cell>
          <cell r="E405">
            <v>481910</v>
          </cell>
        </row>
        <row r="406">
          <cell r="B406" t="str">
            <v>48X48X24CM -5PLY BOX W.PAD</v>
          </cell>
          <cell r="C406">
            <v>113.17</v>
          </cell>
          <cell r="E406">
            <v>481910</v>
          </cell>
        </row>
        <row r="407">
          <cell r="B407" t="str">
            <v>49X26X35 CM - 5PLY BOX</v>
          </cell>
          <cell r="C407">
            <v>74.5</v>
          </cell>
          <cell r="E407">
            <v>481910</v>
          </cell>
        </row>
        <row r="408">
          <cell r="B408" t="str">
            <v>49X31CM - 5ply pad</v>
          </cell>
          <cell r="C408">
            <v>10</v>
          </cell>
          <cell r="E408">
            <v>481910</v>
          </cell>
        </row>
        <row r="409">
          <cell r="B409" t="str">
            <v>49X32X18CM - 5PLY BOX</v>
          </cell>
          <cell r="C409">
            <v>67</v>
          </cell>
          <cell r="E409">
            <v>481910</v>
          </cell>
        </row>
        <row r="410">
          <cell r="B410" t="str">
            <v>49X33X18CM- 5PLY BOX</v>
          </cell>
          <cell r="C410">
            <v>67</v>
          </cell>
          <cell r="E410">
            <v>481910</v>
          </cell>
        </row>
        <row r="411">
          <cell r="B411" t="str">
            <v>49X49X29CM - 58PLY BOX</v>
          </cell>
          <cell r="C411">
            <v>123</v>
          </cell>
          <cell r="E411">
            <v>481910</v>
          </cell>
        </row>
        <row r="412">
          <cell r="B412" t="str">
            <v>5.50x3x24.50" - 5ply box</v>
          </cell>
          <cell r="C412">
            <v>21.56</v>
          </cell>
          <cell r="E412">
            <v>481910</v>
          </cell>
        </row>
        <row r="413">
          <cell r="B413" t="str">
            <v>50.50x13x7.50'' - 5ply monkey 555 Box</v>
          </cell>
          <cell r="C413">
            <v>98.47</v>
          </cell>
          <cell r="E413">
            <v>481910</v>
          </cell>
        </row>
        <row r="414">
          <cell r="B414" t="str">
            <v>500X300mm - 3ply pad</v>
          </cell>
          <cell r="C414">
            <v>3.4</v>
          </cell>
          <cell r="E414">
            <v>481910</v>
          </cell>
        </row>
        <row r="415">
          <cell r="B415" t="str">
            <v>505X300X215MM -5PLY AQUA MOP</v>
          </cell>
          <cell r="C415">
            <v>63.95</v>
          </cell>
          <cell r="E415">
            <v>481910</v>
          </cell>
        </row>
        <row r="416">
          <cell r="B416" t="str">
            <v>50x25x30cm - 7ply Box</v>
          </cell>
          <cell r="C416">
            <v>77.62</v>
          </cell>
          <cell r="E416">
            <v>481910</v>
          </cell>
        </row>
        <row r="417">
          <cell r="B417" t="str">
            <v>50X32X28 CM - 5PLY BOX</v>
          </cell>
          <cell r="C417">
            <v>80.599999999999994</v>
          </cell>
          <cell r="E417">
            <v>481910</v>
          </cell>
        </row>
        <row r="418">
          <cell r="B418" t="str">
            <v>50X38X22CM - 5PLY BOX</v>
          </cell>
          <cell r="C418">
            <v>88.95</v>
          </cell>
          <cell r="E418">
            <v>481910</v>
          </cell>
        </row>
        <row r="419">
          <cell r="B419" t="str">
            <v>50x50x5 mmx2600mm L Angle</v>
          </cell>
          <cell r="C419">
            <v>43</v>
          </cell>
          <cell r="E419">
            <v>481910</v>
          </cell>
        </row>
        <row r="420">
          <cell r="B420" t="str">
            <v>510X510MM - 3PLY PAD</v>
          </cell>
          <cell r="C420">
            <v>4.8</v>
          </cell>
          <cell r="E420">
            <v>481910</v>
          </cell>
        </row>
        <row r="421">
          <cell r="B421" t="str">
            <v>51x31x31cm - 5ply Box</v>
          </cell>
          <cell r="C421">
            <v>76.08</v>
          </cell>
          <cell r="E421">
            <v>481910</v>
          </cell>
        </row>
        <row r="422">
          <cell r="B422" t="str">
            <v>51X37X37CM - 5PLY BOX</v>
          </cell>
          <cell r="C422">
            <v>102.5</v>
          </cell>
          <cell r="E422">
            <v>481910</v>
          </cell>
        </row>
        <row r="423">
          <cell r="B423" t="str">
            <v>51X38X27CM - 5PLY BOX</v>
          </cell>
          <cell r="C423">
            <v>96.9</v>
          </cell>
          <cell r="E423">
            <v>481910</v>
          </cell>
        </row>
        <row r="424">
          <cell r="B424" t="str">
            <v>520x250mm - 3ply pad</v>
          </cell>
          <cell r="C424">
            <v>2.76</v>
          </cell>
          <cell r="E424">
            <v>481910</v>
          </cell>
        </row>
        <row r="425">
          <cell r="B425" t="str">
            <v>520x255 mm - 3ply pad</v>
          </cell>
          <cell r="C425">
            <v>2.75</v>
          </cell>
          <cell r="E425">
            <v>481910</v>
          </cell>
        </row>
        <row r="426">
          <cell r="B426" t="str">
            <v>520x300mm - 3ply pad</v>
          </cell>
          <cell r="C426">
            <v>3.5</v>
          </cell>
          <cell r="E426">
            <v>481910</v>
          </cell>
        </row>
        <row r="427">
          <cell r="B427" t="str">
            <v>525x410x310mm - 7ply Box</v>
          </cell>
          <cell r="C427">
            <v>77.37</v>
          </cell>
          <cell r="E427">
            <v>481910</v>
          </cell>
        </row>
        <row r="428">
          <cell r="B428" t="str">
            <v>52x32x19cm - 5ply box</v>
          </cell>
          <cell r="C428">
            <v>66.55</v>
          </cell>
          <cell r="E428">
            <v>481910</v>
          </cell>
        </row>
        <row r="429">
          <cell r="B429" t="str">
            <v>52X52X29CM -5PLY BOX W.PAD</v>
          </cell>
          <cell r="C429">
            <v>138.5</v>
          </cell>
          <cell r="E429">
            <v>481910</v>
          </cell>
        </row>
        <row r="430">
          <cell r="B430" t="str">
            <v>530x280mm- 3ply pad</v>
          </cell>
          <cell r="C430">
            <v>3.13</v>
          </cell>
          <cell r="E430">
            <v>481910</v>
          </cell>
        </row>
        <row r="431">
          <cell r="B431" t="str">
            <v>53X27X26 CM - 5PLY BOX</v>
          </cell>
          <cell r="C431">
            <v>71.099999999999994</v>
          </cell>
          <cell r="E431">
            <v>481910</v>
          </cell>
        </row>
        <row r="432">
          <cell r="B432" t="str">
            <v>53X31X31cm - 5ply Box</v>
          </cell>
          <cell r="C432">
            <v>81.66</v>
          </cell>
          <cell r="E432">
            <v>481910</v>
          </cell>
        </row>
        <row r="433">
          <cell r="B433" t="str">
            <v>53X33X32CM - 5PLY BOX WITH PAD</v>
          </cell>
          <cell r="C433">
            <v>87.13</v>
          </cell>
          <cell r="E433">
            <v>481910</v>
          </cell>
        </row>
        <row r="434">
          <cell r="B434" t="str">
            <v>53X34X22CM -5PLY BOX W.PAD</v>
          </cell>
          <cell r="C434">
            <v>82.93</v>
          </cell>
          <cell r="E434">
            <v>481910</v>
          </cell>
        </row>
        <row r="435">
          <cell r="B435" t="str">
            <v>53X53X21 CM -5PLY BOX</v>
          </cell>
          <cell r="C435">
            <v>122.5</v>
          </cell>
          <cell r="E435">
            <v>481910</v>
          </cell>
        </row>
        <row r="436">
          <cell r="B436" t="str">
            <v>53x53X30CM - 5PLY BOX</v>
          </cell>
          <cell r="C436">
            <v>138.5</v>
          </cell>
          <cell r="E436">
            <v>481910</v>
          </cell>
        </row>
        <row r="437">
          <cell r="B437" t="str">
            <v>53X53X35CM -5PLY BOX W.PAD</v>
          </cell>
          <cell r="C437">
            <v>156.47</v>
          </cell>
          <cell r="E437">
            <v>481910</v>
          </cell>
        </row>
        <row r="438">
          <cell r="B438" t="str">
            <v>54.25x18.25x24.50" - 5ply box</v>
          </cell>
          <cell r="C438">
            <v>174</v>
          </cell>
          <cell r="E438">
            <v>481910</v>
          </cell>
        </row>
        <row r="439">
          <cell r="B439" t="str">
            <v>540x135x115mm - 5ply box</v>
          </cell>
          <cell r="C439">
            <v>32.869999999999997</v>
          </cell>
          <cell r="E439">
            <v>481910</v>
          </cell>
        </row>
        <row r="440">
          <cell r="B440" t="str">
            <v>540X390MM -3PLY PAD</v>
          </cell>
          <cell r="C440">
            <v>3.96</v>
          </cell>
          <cell r="E440">
            <v>481910</v>
          </cell>
        </row>
        <row r="441">
          <cell r="B441" t="str">
            <v>545x185x125mm - 5ply box</v>
          </cell>
          <cell r="C441">
            <v>34.6</v>
          </cell>
          <cell r="E441">
            <v>481910</v>
          </cell>
        </row>
        <row r="442">
          <cell r="B442" t="str">
            <v>54X27X25 CM - 5PLY BOX</v>
          </cell>
          <cell r="C442">
            <v>71.94</v>
          </cell>
          <cell r="E442">
            <v>481910</v>
          </cell>
        </row>
        <row r="443">
          <cell r="B443" t="str">
            <v>54X29X15 CM - 5PLY BOX</v>
          </cell>
          <cell r="C443">
            <v>62.21</v>
          </cell>
          <cell r="E443">
            <v>481910</v>
          </cell>
        </row>
        <row r="444">
          <cell r="B444" t="str">
            <v>54X36X28CM - 5PLY BOX</v>
          </cell>
          <cell r="C444">
            <v>90.3</v>
          </cell>
          <cell r="E444">
            <v>481910</v>
          </cell>
        </row>
        <row r="445">
          <cell r="B445" t="str">
            <v>54X37X46CM - 5PLY BOX W.PAD</v>
          </cell>
          <cell r="C445">
            <v>112</v>
          </cell>
          <cell r="E445">
            <v>481910</v>
          </cell>
        </row>
        <row r="446">
          <cell r="B446" t="str">
            <v>54X54X32CM - 5 PLY BOX WITH PAD</v>
          </cell>
          <cell r="C446">
            <v>138.5</v>
          </cell>
          <cell r="E446">
            <v>481910</v>
          </cell>
        </row>
        <row r="447">
          <cell r="B447" t="str">
            <v>55.25x18.25x24.50" - 5ply box</v>
          </cell>
          <cell r="C447">
            <v>156</v>
          </cell>
          <cell r="E447">
            <v>481910</v>
          </cell>
        </row>
        <row r="448">
          <cell r="B448" t="str">
            <v>550x225mm - 3ply pad</v>
          </cell>
          <cell r="C448">
            <v>2.68</v>
          </cell>
          <cell r="E448">
            <v>481910</v>
          </cell>
        </row>
        <row r="449">
          <cell r="B449" t="str">
            <v>550x320mm - 3ply pad</v>
          </cell>
          <cell r="C449">
            <v>3.4</v>
          </cell>
          <cell r="E449">
            <v>481910</v>
          </cell>
        </row>
        <row r="450">
          <cell r="B450" t="str">
            <v>550X330X880 mm - 5ply Box</v>
          </cell>
          <cell r="C450">
            <v>85</v>
          </cell>
          <cell r="E450">
            <v>481910</v>
          </cell>
        </row>
        <row r="451">
          <cell r="B451" t="str">
            <v xml:space="preserve">550x350x250mm - 7ply box </v>
          </cell>
          <cell r="C451">
            <v>209.96</v>
          </cell>
          <cell r="E451">
            <v>481910</v>
          </cell>
        </row>
        <row r="452">
          <cell r="B452" t="str">
            <v>550x430x880mm - 5ply Box</v>
          </cell>
          <cell r="C452">
            <v>102.62</v>
          </cell>
          <cell r="E452">
            <v>481910</v>
          </cell>
        </row>
        <row r="453">
          <cell r="B453" t="str">
            <v>55X37X28CM - 5PLY BOX</v>
          </cell>
          <cell r="C453">
            <v>102.1</v>
          </cell>
          <cell r="E453">
            <v>481910</v>
          </cell>
        </row>
        <row r="454">
          <cell r="B454" t="str">
            <v>55x53x37CM - 5PLY BOX W.PAD</v>
          </cell>
          <cell r="C454">
            <v>140.58000000000001</v>
          </cell>
          <cell r="E454">
            <v>481910</v>
          </cell>
        </row>
        <row r="455">
          <cell r="B455" t="str">
            <v>560X345X235MM - 7PLY BOX</v>
          </cell>
          <cell r="C455">
            <v>58</v>
          </cell>
          <cell r="E455">
            <v>481910</v>
          </cell>
        </row>
        <row r="456">
          <cell r="B456" t="str">
            <v>56X24X17 CM - 5PLY BOX</v>
          </cell>
          <cell r="C456">
            <v>59.13</v>
          </cell>
          <cell r="E456">
            <v>481910</v>
          </cell>
        </row>
        <row r="457">
          <cell r="B457" t="str">
            <v>56x34x67cm - 9ply Box</v>
          </cell>
          <cell r="C457">
            <v>224.48</v>
          </cell>
          <cell r="E457">
            <v>481910</v>
          </cell>
        </row>
        <row r="458">
          <cell r="B458" t="str">
            <v>56X39X24CM - 5PLY BOX</v>
          </cell>
          <cell r="C458">
            <v>95.11</v>
          </cell>
          <cell r="E458">
            <v>481910</v>
          </cell>
        </row>
        <row r="459">
          <cell r="B459" t="str">
            <v>570X420MM - 3PLY PAD</v>
          </cell>
          <cell r="C459">
            <v>4.4000000000000004</v>
          </cell>
          <cell r="E459">
            <v>481910</v>
          </cell>
        </row>
        <row r="460">
          <cell r="B460" t="str">
            <v>57X38X41CM -5PLY BOX</v>
          </cell>
          <cell r="C460">
            <v>120.73</v>
          </cell>
          <cell r="E460">
            <v>481910</v>
          </cell>
        </row>
        <row r="461">
          <cell r="B461" t="str">
            <v>57X45X24CM - 5PLY BOX</v>
          </cell>
          <cell r="C461">
            <v>102.33</v>
          </cell>
          <cell r="E461">
            <v>481910</v>
          </cell>
        </row>
        <row r="462">
          <cell r="B462" t="str">
            <v>57X47X23CM - 5PLY BOX</v>
          </cell>
          <cell r="C462">
            <v>119.47</v>
          </cell>
          <cell r="E462">
            <v>481910</v>
          </cell>
        </row>
        <row r="463">
          <cell r="B463" t="str">
            <v>57X47X39CM - 5PLY BOX W.PAD</v>
          </cell>
          <cell r="C463">
            <v>135.75</v>
          </cell>
          <cell r="E463">
            <v>481910</v>
          </cell>
        </row>
        <row r="464">
          <cell r="B464" t="str">
            <v>580X380X250mm - 7ply box</v>
          </cell>
          <cell r="C464">
            <v>200</v>
          </cell>
          <cell r="E464">
            <v>481910</v>
          </cell>
        </row>
        <row r="465">
          <cell r="B465" t="str">
            <v>58x18x19'' - 5ply Box</v>
          </cell>
          <cell r="C465">
            <v>288</v>
          </cell>
          <cell r="E465">
            <v>481910</v>
          </cell>
        </row>
        <row r="466">
          <cell r="B466" t="str">
            <v>58X38X17 CM - 5PLY BOX</v>
          </cell>
          <cell r="C466">
            <v>81.5</v>
          </cell>
          <cell r="E466">
            <v>481910</v>
          </cell>
        </row>
        <row r="467">
          <cell r="B467" t="str">
            <v>58X43X29CM - 5PLY BOX</v>
          </cell>
          <cell r="C467">
            <v>116.7</v>
          </cell>
          <cell r="E467">
            <v>481910</v>
          </cell>
        </row>
        <row r="468">
          <cell r="B468" t="str">
            <v>60.50X20X21'' - 5PLY BOX</v>
          </cell>
          <cell r="C468">
            <v>311</v>
          </cell>
          <cell r="E468">
            <v>481910</v>
          </cell>
        </row>
        <row r="469">
          <cell r="B469" t="str">
            <v>60X40X28CM - 5PLY BOX (120)</v>
          </cell>
          <cell r="C469">
            <v>60.67</v>
          </cell>
          <cell r="E469">
            <v>481910</v>
          </cell>
        </row>
        <row r="470">
          <cell r="B470" t="str">
            <v>60X40X28CM - 5PLY BOX(100)</v>
          </cell>
          <cell r="C470">
            <v>53</v>
          </cell>
          <cell r="E470">
            <v>481910</v>
          </cell>
        </row>
        <row r="471">
          <cell r="B471" t="str">
            <v>60x40x30cm - 5ply box</v>
          </cell>
          <cell r="C471">
            <v>118</v>
          </cell>
          <cell r="E471">
            <v>481910</v>
          </cell>
        </row>
        <row r="472">
          <cell r="B472" t="str">
            <v>60x40x40cm - 5ply box</v>
          </cell>
          <cell r="C472">
            <v>132</v>
          </cell>
          <cell r="E472">
            <v>481910</v>
          </cell>
        </row>
        <row r="473">
          <cell r="B473" t="str">
            <v>60x43x33 Cm - 5 ply Box</v>
          </cell>
          <cell r="C473">
            <v>147</v>
          </cell>
          <cell r="E473">
            <v>481910</v>
          </cell>
        </row>
        <row r="474">
          <cell r="B474" t="str">
            <v>60x48x30 CM - 5 ply Box</v>
          </cell>
          <cell r="C474">
            <v>149</v>
          </cell>
          <cell r="E474">
            <v>481910</v>
          </cell>
        </row>
        <row r="475">
          <cell r="B475" t="str">
            <v>6¼ x 10¼" - 5ply pad</v>
          </cell>
          <cell r="C475">
            <v>2.39</v>
          </cell>
          <cell r="E475">
            <v>481910</v>
          </cell>
        </row>
        <row r="476">
          <cell r="B476" t="str">
            <v>6¼ x 8" - 5ply pad</v>
          </cell>
          <cell r="C476">
            <v>1.87</v>
          </cell>
          <cell r="E476">
            <v>481910</v>
          </cell>
        </row>
        <row r="477">
          <cell r="B477" t="str">
            <v>6¼x10¼" - 5ply pad</v>
          </cell>
          <cell r="C477">
            <v>2.39</v>
          </cell>
          <cell r="E477">
            <v>481910</v>
          </cell>
        </row>
        <row r="478">
          <cell r="B478" t="str">
            <v>6¼x8" - 5ply pad</v>
          </cell>
          <cell r="C478">
            <v>1.84</v>
          </cell>
          <cell r="E478">
            <v>481910</v>
          </cell>
        </row>
        <row r="479">
          <cell r="B479" t="str">
            <v>62x42x40cm - 5ply Box</v>
          </cell>
          <cell r="C479">
            <v>94</v>
          </cell>
          <cell r="E479">
            <v>481910</v>
          </cell>
        </row>
        <row r="480">
          <cell r="B480" t="str">
            <v>62x45x24cm - 5ply Box with pad</v>
          </cell>
          <cell r="C480">
            <v>112.5</v>
          </cell>
          <cell r="E480">
            <v>481910</v>
          </cell>
        </row>
        <row r="481">
          <cell r="B481" t="str">
            <v>630x310 mm - 3ply pad</v>
          </cell>
          <cell r="C481">
            <v>4.25</v>
          </cell>
          <cell r="E481">
            <v>481910</v>
          </cell>
        </row>
        <row r="482">
          <cell r="B482" t="str">
            <v>630x480x960mm - 5ply Box</v>
          </cell>
          <cell r="C482">
            <v>126.93</v>
          </cell>
          <cell r="E482">
            <v>481910</v>
          </cell>
        </row>
        <row r="483">
          <cell r="B483" t="str">
            <v>63X46X36CM -7PLY BOX W.PAD</v>
          </cell>
          <cell r="C483">
            <v>194.98</v>
          </cell>
          <cell r="E483">
            <v>481910</v>
          </cell>
        </row>
        <row r="484">
          <cell r="B484" t="str">
            <v>640x450mm - 3ply pad</v>
          </cell>
          <cell r="C484">
            <v>5.64</v>
          </cell>
          <cell r="E484">
            <v>481910</v>
          </cell>
        </row>
        <row r="485">
          <cell r="B485" t="str">
            <v>64x32x24 CM - 5PLY BOX</v>
          </cell>
          <cell r="C485">
            <v>85.45</v>
          </cell>
          <cell r="E485">
            <v>481910</v>
          </cell>
        </row>
        <row r="486">
          <cell r="B486" t="str">
            <v>64x42x40cm - 5ply Box</v>
          </cell>
          <cell r="C486">
            <v>93.46</v>
          </cell>
          <cell r="E486">
            <v>481910</v>
          </cell>
        </row>
        <row r="487">
          <cell r="B487" t="str">
            <v>64x43x43cm - 5ply Box</v>
          </cell>
          <cell r="C487">
            <v>124.61</v>
          </cell>
          <cell r="E487">
            <v>481910</v>
          </cell>
        </row>
        <row r="488">
          <cell r="B488" t="str">
            <v>64X44X19CM -5PLY BOX MINE 555</v>
          </cell>
          <cell r="C488">
            <v>87.9</v>
          </cell>
          <cell r="E488">
            <v>481910</v>
          </cell>
        </row>
        <row r="489">
          <cell r="B489" t="str">
            <v>64X44X25CM - 5PLY BOX</v>
          </cell>
          <cell r="C489">
            <v>107.66</v>
          </cell>
          <cell r="E489">
            <v>481910</v>
          </cell>
        </row>
        <row r="490">
          <cell r="B490" t="str">
            <v>64x44x37CM - 5ply Box 555</v>
          </cell>
          <cell r="C490">
            <v>94.5</v>
          </cell>
          <cell r="E490">
            <v>481910</v>
          </cell>
        </row>
        <row r="491">
          <cell r="B491" t="str">
            <v>64X44X44CM - 5PLY BOX</v>
          </cell>
          <cell r="C491">
            <v>123.8</v>
          </cell>
          <cell r="E491">
            <v>481910</v>
          </cell>
        </row>
        <row r="492">
          <cell r="B492" t="str">
            <v>65x46x52cm - 9ply Box</v>
          </cell>
          <cell r="C492">
            <v>270.72000000000003</v>
          </cell>
          <cell r="E492">
            <v>481910</v>
          </cell>
        </row>
        <row r="493">
          <cell r="B493" t="str">
            <v>65X56X38CM -7PLY BOX W.PAD</v>
          </cell>
          <cell r="C493">
            <v>248.51</v>
          </cell>
          <cell r="E493">
            <v>481910</v>
          </cell>
        </row>
        <row r="494">
          <cell r="B494" t="str">
            <v>66X38X25CM - 5PLY BOX WITH PAD</v>
          </cell>
          <cell r="C494">
            <v>96.63</v>
          </cell>
          <cell r="E494">
            <v>481910</v>
          </cell>
        </row>
        <row r="495">
          <cell r="B495" t="str">
            <v>7.25X5X3.50" - 3Ply box</v>
          </cell>
          <cell r="C495">
            <v>5</v>
          </cell>
          <cell r="E495">
            <v>481910</v>
          </cell>
        </row>
        <row r="496">
          <cell r="B496" t="str">
            <v>7.25X5X3.50" - 3Ply box</v>
          </cell>
          <cell r="C496">
            <v>5.37</v>
          </cell>
          <cell r="E496">
            <v>481910</v>
          </cell>
        </row>
        <row r="497">
          <cell r="B497" t="str">
            <v>7.50x6.50x5.50 - 5ply box</v>
          </cell>
          <cell r="C497">
            <v>8.7100000000000009</v>
          </cell>
          <cell r="E497">
            <v>481910</v>
          </cell>
        </row>
        <row r="498">
          <cell r="B498" t="str">
            <v>721245 - 11098897 - VSP CORRUGATED BOARD</v>
          </cell>
          <cell r="C498">
            <v>233.28</v>
          </cell>
          <cell r="E498">
            <v>481910</v>
          </cell>
        </row>
        <row r="499">
          <cell r="B499" t="str">
            <v>75X75X4MMX2200MM L ANGLE</v>
          </cell>
          <cell r="C499">
            <v>43</v>
          </cell>
          <cell r="E499">
            <v>481910</v>
          </cell>
        </row>
        <row r="500">
          <cell r="B500" t="str">
            <v>765X550MM -7PLY PAD</v>
          </cell>
          <cell r="C500">
            <v>40.85</v>
          </cell>
          <cell r="E500">
            <v>481910</v>
          </cell>
        </row>
        <row r="501">
          <cell r="B501" t="str">
            <v>77.50X20X21'' -5 PLY BOX</v>
          </cell>
          <cell r="C501">
            <v>364.62</v>
          </cell>
          <cell r="E501">
            <v>481910</v>
          </cell>
        </row>
        <row r="502">
          <cell r="B502" t="str">
            <v>780mm polythne Roll</v>
          </cell>
          <cell r="C502">
            <v>184</v>
          </cell>
          <cell r="E502">
            <v>481910</v>
          </cell>
        </row>
        <row r="503">
          <cell r="B503" t="str">
            <v>780X570X360MM -7PLY BOX WITH COVER</v>
          </cell>
          <cell r="C503">
            <v>517.75</v>
          </cell>
          <cell r="E503">
            <v>481910</v>
          </cell>
        </row>
        <row r="504">
          <cell r="B504" t="str">
            <v>780X570X600MM -7PLY BOX WITH COVER</v>
          </cell>
          <cell r="C504">
            <v>630.16999999999996</v>
          </cell>
          <cell r="E504">
            <v>481910</v>
          </cell>
        </row>
        <row r="505">
          <cell r="B505" t="str">
            <v>780X580X480MM -7PLY BOX WITH COVER</v>
          </cell>
          <cell r="C505">
            <v>605.82000000000005</v>
          </cell>
          <cell r="E505">
            <v>481910</v>
          </cell>
        </row>
        <row r="506">
          <cell r="B506" t="str">
            <v>780x600mm - 2ply lamination pad</v>
          </cell>
          <cell r="C506">
            <v>13.5</v>
          </cell>
          <cell r="E506">
            <v>481910</v>
          </cell>
        </row>
        <row r="507">
          <cell r="B507" t="str">
            <v>780x600mm - 2ply pad</v>
          </cell>
          <cell r="C507">
            <v>7.8</v>
          </cell>
          <cell r="E507">
            <v>481910</v>
          </cell>
        </row>
        <row r="508">
          <cell r="B508" t="str">
            <v>780x780mm - 3ply lamination pad</v>
          </cell>
          <cell r="C508">
            <v>19.5</v>
          </cell>
          <cell r="E508">
            <v>481910</v>
          </cell>
        </row>
        <row r="509">
          <cell r="B509" t="str">
            <v>7ply waterman box bufferset</v>
          </cell>
          <cell r="C509">
            <v>39.24</v>
          </cell>
          <cell r="E509">
            <v>481910</v>
          </cell>
        </row>
        <row r="510">
          <cell r="B510" t="str">
            <v>7X11X7X6.50'' BUFFER SET</v>
          </cell>
          <cell r="C510">
            <v>7.3</v>
          </cell>
          <cell r="E510">
            <v>481910</v>
          </cell>
        </row>
        <row r="511">
          <cell r="B511" t="str">
            <v>8.50X11.25X8.50X6.50'' -5PLY BUFFER</v>
          </cell>
          <cell r="C511">
            <v>4.2699999999999996</v>
          </cell>
          <cell r="E511">
            <v>481910</v>
          </cell>
        </row>
        <row r="512">
          <cell r="B512" t="str">
            <v>8.50X17'' - 13PLY PAD</v>
          </cell>
          <cell r="C512">
            <v>7.53</v>
          </cell>
          <cell r="E512">
            <v>481910</v>
          </cell>
        </row>
        <row r="513">
          <cell r="B513" t="str">
            <v>8.50X6.50X8.50X11.25 - 5PLY BUFFER</v>
          </cell>
          <cell r="C513">
            <v>5.3</v>
          </cell>
          <cell r="E513">
            <v>481910</v>
          </cell>
        </row>
        <row r="514">
          <cell r="B514" t="str">
            <v>8.50x7x6.75'' - 3ply white Box</v>
          </cell>
          <cell r="C514">
            <v>16.3</v>
          </cell>
          <cell r="E514">
            <v>481910</v>
          </cell>
        </row>
        <row r="515">
          <cell r="B515" t="str">
            <v>800X600X380MM -7PLY BOX WITH COVER</v>
          </cell>
          <cell r="C515">
            <v>668.8</v>
          </cell>
          <cell r="E515">
            <v>481910</v>
          </cell>
        </row>
        <row r="516">
          <cell r="B516" t="str">
            <v>800X600X450MM -7PLY BOX WITH COVER</v>
          </cell>
          <cell r="C516">
            <v>724.85</v>
          </cell>
          <cell r="E516">
            <v>481910</v>
          </cell>
        </row>
        <row r="517">
          <cell r="B517" t="str">
            <v>800X600X530MM -7PLY BOX WITH COVER</v>
          </cell>
          <cell r="C517">
            <v>750.5</v>
          </cell>
          <cell r="E517">
            <v>481910</v>
          </cell>
        </row>
        <row r="518">
          <cell r="B518" t="str">
            <v>8G Box set - 5ply box</v>
          </cell>
          <cell r="C518">
            <v>28</v>
          </cell>
          <cell r="E518">
            <v>481910</v>
          </cell>
        </row>
        <row r="519">
          <cell r="B519" t="str">
            <v>8G Box set - 5ply box (W.O.P)</v>
          </cell>
          <cell r="C519">
            <v>26</v>
          </cell>
          <cell r="E519">
            <v>481910</v>
          </cell>
        </row>
        <row r="520">
          <cell r="B520" t="str">
            <v>8x8'' - white Borad</v>
          </cell>
          <cell r="C520">
            <v>0.92</v>
          </cell>
          <cell r="E520">
            <v>481910</v>
          </cell>
        </row>
        <row r="521">
          <cell r="B521" t="str">
            <v>8X8X10CM - 3PLY BOX</v>
          </cell>
          <cell r="C521">
            <v>4.9000000000000004</v>
          </cell>
          <cell r="E521">
            <v>481910</v>
          </cell>
        </row>
        <row r="522">
          <cell r="B522" t="str">
            <v>9.25X4.75X6.5'' - 5PLY L PAD</v>
          </cell>
          <cell r="C522">
            <v>2.2799999999999998</v>
          </cell>
          <cell r="E522">
            <v>481910</v>
          </cell>
        </row>
        <row r="523">
          <cell r="B523" t="str">
            <v>9.50X5'' - 5PLY PAD</v>
          </cell>
          <cell r="C523">
            <v>1.24</v>
          </cell>
          <cell r="E523">
            <v>481910</v>
          </cell>
        </row>
        <row r="524">
          <cell r="B524" t="str">
            <v>9.50x5.50'' - 7 ply pad</v>
          </cell>
          <cell r="C524">
            <v>1.4</v>
          </cell>
          <cell r="E524">
            <v>481910</v>
          </cell>
        </row>
        <row r="525">
          <cell r="B525" t="str">
            <v>9.75x7.50x10.25'' -5ply Box</v>
          </cell>
          <cell r="C525">
            <v>18</v>
          </cell>
          <cell r="E525">
            <v>481910</v>
          </cell>
        </row>
        <row r="526">
          <cell r="B526" t="str">
            <v>900X475X620MM - 7Ply With Cover</v>
          </cell>
          <cell r="C526">
            <v>545</v>
          </cell>
          <cell r="E526">
            <v>481910</v>
          </cell>
        </row>
        <row r="527">
          <cell r="B527" t="str">
            <v>900x520x620mm - 7ply box with cover</v>
          </cell>
          <cell r="C527">
            <v>592</v>
          </cell>
          <cell r="E527">
            <v>481910</v>
          </cell>
        </row>
        <row r="528">
          <cell r="B528" t="str">
            <v>900x520x620mm - 7ply cover</v>
          </cell>
          <cell r="C528">
            <v>331</v>
          </cell>
          <cell r="D528" t="str">
            <v>[100920]</v>
          </cell>
          <cell r="E528">
            <v>481910</v>
          </cell>
        </row>
        <row r="529">
          <cell r="B529" t="str">
            <v>900x570x620mm - 7 ply cover</v>
          </cell>
          <cell r="C529">
            <v>348</v>
          </cell>
          <cell r="D529" t="str">
            <v>[100921]</v>
          </cell>
          <cell r="E529">
            <v>481910</v>
          </cell>
        </row>
        <row r="530">
          <cell r="B530" t="str">
            <v>900x570x620mm - 7ply box with cover</v>
          </cell>
          <cell r="C530">
            <v>632</v>
          </cell>
          <cell r="D530" t="str">
            <v>[100494]</v>
          </cell>
          <cell r="E530">
            <v>481910</v>
          </cell>
        </row>
        <row r="531">
          <cell r="B531" t="str">
            <v>9½ x7x2¼" - 3ply punching box</v>
          </cell>
          <cell r="C531">
            <v>24</v>
          </cell>
          <cell r="E531">
            <v>481910</v>
          </cell>
        </row>
        <row r="532">
          <cell r="B532" t="str">
            <v>9x7x5.50'' - 5ply ''L'' buffer set</v>
          </cell>
          <cell r="C532">
            <v>4.5</v>
          </cell>
          <cell r="E532">
            <v>481910</v>
          </cell>
        </row>
        <row r="533">
          <cell r="B533" t="str">
            <v>9X8X3 - 5PLY ZIG ZAG</v>
          </cell>
          <cell r="C533">
            <v>13.57</v>
          </cell>
          <cell r="E533">
            <v>481910</v>
          </cell>
        </row>
        <row r="534">
          <cell r="B534" t="str">
            <v>9X8X3'' - 5ply zig zag</v>
          </cell>
          <cell r="C534">
            <v>13.57</v>
          </cell>
          <cell r="E534">
            <v>481910</v>
          </cell>
        </row>
        <row r="535">
          <cell r="B535" t="str">
            <v>9x8x3'' - 5ply zig zag</v>
          </cell>
          <cell r="C535">
            <v>13.6</v>
          </cell>
          <cell r="E535">
            <v>481910</v>
          </cell>
        </row>
        <row r="536">
          <cell r="B536" t="str">
            <v>9X8X3'' -5ply pad</v>
          </cell>
          <cell r="C536">
            <v>13.57</v>
          </cell>
          <cell r="E536">
            <v>481910</v>
          </cell>
        </row>
        <row r="537">
          <cell r="B537" t="str">
            <v>9X8X7'' - 3PLY BOX</v>
          </cell>
          <cell r="C537">
            <v>13.75</v>
          </cell>
          <cell r="E537">
            <v>481910</v>
          </cell>
        </row>
        <row r="538">
          <cell r="B538" t="str">
            <v>9x9x4½" - 3 ply box</v>
          </cell>
          <cell r="C538">
            <v>7</v>
          </cell>
          <cell r="E538">
            <v>481910</v>
          </cell>
        </row>
        <row r="539">
          <cell r="B539" t="str">
            <v>9x9x6¼" - 3ply box</v>
          </cell>
          <cell r="C539">
            <v>8.0399999999999991</v>
          </cell>
          <cell r="E539">
            <v>481910</v>
          </cell>
        </row>
        <row r="540">
          <cell r="B540" t="str">
            <v>ALGO Inner Box</v>
          </cell>
          <cell r="C540">
            <v>17</v>
          </cell>
          <cell r="E540">
            <v>481910</v>
          </cell>
        </row>
        <row r="541">
          <cell r="B541" t="str">
            <v>Buffer set waterman Box</v>
          </cell>
          <cell r="C541">
            <v>39.24</v>
          </cell>
          <cell r="E541">
            <v>481910</v>
          </cell>
        </row>
        <row r="542">
          <cell r="B542" t="str">
            <v>CIM 900X520X570MM - 7PLY BOX</v>
          </cell>
          <cell r="C542">
            <v>518.01</v>
          </cell>
          <cell r="E542">
            <v>481910</v>
          </cell>
        </row>
        <row r="543">
          <cell r="B543" t="str">
            <v>CIM 900X520X620MM - 7PLY BOX</v>
          </cell>
          <cell r="C543">
            <v>543.12</v>
          </cell>
          <cell r="E543">
            <v>481910</v>
          </cell>
        </row>
        <row r="544">
          <cell r="B544" t="str">
            <v>CIM 900X520X645MM - 7PLY BOX WITH COVER</v>
          </cell>
          <cell r="C544">
            <v>633</v>
          </cell>
          <cell r="E544">
            <v>481910</v>
          </cell>
        </row>
        <row r="545">
          <cell r="B545" t="str">
            <v>CORRUGATION FLEXO MACHINE</v>
          </cell>
          <cell r="C545">
            <v>80000</v>
          </cell>
          <cell r="E545">
            <v>481910</v>
          </cell>
        </row>
        <row r="546">
          <cell r="B546" t="str">
            <v xml:space="preserve">DUKE Inner Box </v>
          </cell>
          <cell r="C546">
            <v>21.87</v>
          </cell>
          <cell r="E546">
            <v>481910</v>
          </cell>
        </row>
        <row r="547">
          <cell r="B547" t="str">
            <v>DUKE MASTER BOX</v>
          </cell>
          <cell r="C547">
            <v>54.11</v>
          </cell>
          <cell r="E547">
            <v>481910</v>
          </cell>
        </row>
        <row r="548">
          <cell r="B548" t="str">
            <v xml:space="preserve">E - 7018 box set </v>
          </cell>
          <cell r="C548">
            <v>43</v>
          </cell>
          <cell r="E548">
            <v>481910</v>
          </cell>
        </row>
        <row r="549">
          <cell r="B549" t="str">
            <v>FLEXO CHAREG</v>
          </cell>
          <cell r="C549">
            <v>7500</v>
          </cell>
          <cell r="E549">
            <v>481910</v>
          </cell>
        </row>
        <row r="550">
          <cell r="B550" t="str">
            <v>KOIL BOX</v>
          </cell>
          <cell r="C550">
            <v>27.96</v>
          </cell>
          <cell r="E550">
            <v>481910</v>
          </cell>
        </row>
        <row r="551">
          <cell r="B551" t="str">
            <v>KOIL BUFFER SET</v>
          </cell>
          <cell r="C551">
            <v>4.67</v>
          </cell>
          <cell r="E551">
            <v>481910</v>
          </cell>
        </row>
        <row r="552">
          <cell r="B552" t="str">
            <v>Kraft paper</v>
          </cell>
          <cell r="C552">
            <v>46</v>
          </cell>
          <cell r="E552">
            <v>481910</v>
          </cell>
        </row>
        <row r="553">
          <cell r="B553" t="str">
            <v>krishtex Buffer Set</v>
          </cell>
          <cell r="C553">
            <v>116</v>
          </cell>
          <cell r="E553">
            <v>481910</v>
          </cell>
        </row>
        <row r="554">
          <cell r="B554" t="str">
            <v>Majestic Mine Series Inner Box</v>
          </cell>
          <cell r="C554">
            <v>20.8</v>
          </cell>
          <cell r="E554">
            <v>481910</v>
          </cell>
        </row>
        <row r="555">
          <cell r="B555" t="str">
            <v>Majestic Mine Series Master Box</v>
          </cell>
          <cell r="C555">
            <v>45.5</v>
          </cell>
          <cell r="E555">
            <v>481910</v>
          </cell>
        </row>
        <row r="556">
          <cell r="B556" t="str">
            <v>MARI Buffer Set</v>
          </cell>
          <cell r="C556">
            <v>13.9</v>
          </cell>
          <cell r="E556">
            <v>481910</v>
          </cell>
        </row>
        <row r="557">
          <cell r="B557" t="str">
            <v>Milano 0.5HP inner box</v>
          </cell>
          <cell r="C557">
            <v>28.5</v>
          </cell>
          <cell r="E557">
            <v>481910</v>
          </cell>
        </row>
        <row r="558">
          <cell r="B558" t="str">
            <v>Milano 0.5HP master box</v>
          </cell>
          <cell r="C558">
            <v>73.17</v>
          </cell>
          <cell r="E558">
            <v>481910</v>
          </cell>
        </row>
        <row r="559">
          <cell r="B559" t="str">
            <v>Milano 1HP inner box</v>
          </cell>
          <cell r="C559">
            <v>33.75</v>
          </cell>
          <cell r="E559">
            <v>481910</v>
          </cell>
        </row>
        <row r="560">
          <cell r="B560" t="str">
            <v>Milano 1Hp master box</v>
          </cell>
          <cell r="C560">
            <v>79.56</v>
          </cell>
          <cell r="E560">
            <v>481910</v>
          </cell>
        </row>
        <row r="561">
          <cell r="B561" t="str">
            <v>Mini Light 0.50hp / 1hp printing sheet</v>
          </cell>
          <cell r="C561">
            <v>26.81</v>
          </cell>
          <cell r="E561">
            <v>481910</v>
          </cell>
        </row>
        <row r="562">
          <cell r="B562" t="str">
            <v>MONKEY 555 FLEXO</v>
          </cell>
          <cell r="C562">
            <v>12744</v>
          </cell>
          <cell r="E562">
            <v>481910</v>
          </cell>
        </row>
        <row r="563">
          <cell r="B563" t="str">
            <v>New Vitra Openwell Box</v>
          </cell>
          <cell r="C563">
            <v>46.91</v>
          </cell>
          <cell r="E563">
            <v>481910</v>
          </cell>
        </row>
        <row r="564">
          <cell r="B564" t="str">
            <v>NSP - 2R / 3R printing sheet</v>
          </cell>
          <cell r="C564">
            <v>50.7</v>
          </cell>
          <cell r="E564">
            <v>481910</v>
          </cell>
        </row>
        <row r="565">
          <cell r="B565" t="str">
            <v>Optima Inner Box</v>
          </cell>
          <cell r="C565">
            <v>20.81</v>
          </cell>
          <cell r="E565">
            <v>481910</v>
          </cell>
        </row>
        <row r="566">
          <cell r="B566" t="str">
            <v>Optima Master Box</v>
          </cell>
          <cell r="C566">
            <v>45.5</v>
          </cell>
          <cell r="E566">
            <v>481910</v>
          </cell>
        </row>
        <row r="567">
          <cell r="B567" t="str">
            <v>Paper Waste</v>
          </cell>
          <cell r="C567">
            <v>17.5</v>
          </cell>
          <cell r="E567">
            <v>4707</v>
          </cell>
        </row>
        <row r="568">
          <cell r="B568" t="str">
            <v>PCKMTL 1120X530X1040mm - 7ply Box</v>
          </cell>
          <cell r="C568">
            <v>470</v>
          </cell>
          <cell r="E568">
            <v>481910</v>
          </cell>
        </row>
        <row r="569">
          <cell r="B569" t="str">
            <v>PCKMTL2200mm-Corner Angle Borad</v>
          </cell>
          <cell r="C569">
            <v>55</v>
          </cell>
          <cell r="E569">
            <v>481910</v>
          </cell>
        </row>
        <row r="570">
          <cell r="B570" t="str">
            <v>PCKMTLRB 1320X870 -5PLY CAP</v>
          </cell>
          <cell r="C570">
            <v>274</v>
          </cell>
          <cell r="E570">
            <v>481910</v>
          </cell>
        </row>
        <row r="571">
          <cell r="B571" t="str">
            <v>PCKMTLRB 1967X1172 -5PLY CAP</v>
          </cell>
          <cell r="C571">
            <v>320</v>
          </cell>
          <cell r="E571">
            <v>481910</v>
          </cell>
        </row>
        <row r="572">
          <cell r="B572" t="str">
            <v>PCKMTLRC 1310X870 - 5PLY CAP</v>
          </cell>
          <cell r="C572">
            <v>280</v>
          </cell>
          <cell r="E572">
            <v>481910</v>
          </cell>
        </row>
        <row r="573">
          <cell r="B573" t="str">
            <v>PCKMTLRC 1957X1076 -5PLY CAP</v>
          </cell>
          <cell r="C573">
            <v>305</v>
          </cell>
          <cell r="E573">
            <v>481910</v>
          </cell>
        </row>
        <row r="574">
          <cell r="B574" t="str">
            <v>PCKMTRL2PLS - 2ply Layer Sheet</v>
          </cell>
          <cell r="C574">
            <v>46</v>
          </cell>
          <cell r="E574">
            <v>481910</v>
          </cell>
        </row>
        <row r="575">
          <cell r="B575" t="str">
            <v>PLATE CHARGES</v>
          </cell>
          <cell r="C575">
            <v>600</v>
          </cell>
          <cell r="E575">
            <v>481910</v>
          </cell>
        </row>
        <row r="576">
          <cell r="B576" t="str">
            <v>POLOMIX 11.5X7X9.50''</v>
          </cell>
          <cell r="C576">
            <v>19.5</v>
          </cell>
          <cell r="E576">
            <v>481910</v>
          </cell>
        </row>
        <row r="577">
          <cell r="B577" t="str">
            <v>POLOMIX 15.25x12x10''- 5plybox</v>
          </cell>
          <cell r="C577">
            <v>46.5</v>
          </cell>
          <cell r="E577">
            <v>481910</v>
          </cell>
        </row>
        <row r="578">
          <cell r="B578" t="str">
            <v>POLOMIX 17.25X13.75X11'' - 5plybox</v>
          </cell>
          <cell r="C578">
            <v>58.5</v>
          </cell>
          <cell r="E578">
            <v>481910</v>
          </cell>
        </row>
        <row r="579">
          <cell r="B579" t="str">
            <v>Polythene sheet (per kg)</v>
          </cell>
          <cell r="C579">
            <v>169</v>
          </cell>
          <cell r="E579">
            <v>481910</v>
          </cell>
        </row>
        <row r="580">
          <cell r="B580" t="str">
            <v>Precicraft Buffer set</v>
          </cell>
          <cell r="C580">
            <v>14.5</v>
          </cell>
          <cell r="E580">
            <v>481910</v>
          </cell>
        </row>
        <row r="581">
          <cell r="B581" t="str">
            <v>PSG 305X200X250MM - 5PLY BOX</v>
          </cell>
          <cell r="C581">
            <v>24.72</v>
          </cell>
        </row>
        <row r="582">
          <cell r="B582" t="str">
            <v>PSG 4G Inner Box</v>
          </cell>
          <cell r="C582">
            <v>25</v>
          </cell>
          <cell r="E582">
            <v>481910</v>
          </cell>
        </row>
        <row r="583">
          <cell r="B583" t="str">
            <v>PSG 4G Inner Box</v>
          </cell>
          <cell r="C583">
            <v>25</v>
          </cell>
          <cell r="E583">
            <v>481910</v>
          </cell>
        </row>
        <row r="584">
          <cell r="B584" t="str">
            <v>PSG 4G Inner Pad Set</v>
          </cell>
          <cell r="C584">
            <v>14.16</v>
          </cell>
          <cell r="E584">
            <v>481910</v>
          </cell>
        </row>
        <row r="585">
          <cell r="B585" t="str">
            <v>PSG 4G Inner Pad Set</v>
          </cell>
          <cell r="C585">
            <v>14.16</v>
          </cell>
          <cell r="E585">
            <v>481910</v>
          </cell>
        </row>
        <row r="586">
          <cell r="B586" t="str">
            <v>PSG 4G Master Box</v>
          </cell>
          <cell r="C586">
            <v>73.599999999999994</v>
          </cell>
          <cell r="E586">
            <v>481910</v>
          </cell>
        </row>
        <row r="587">
          <cell r="B587" t="str">
            <v>PSG 4G Master Box</v>
          </cell>
          <cell r="C587">
            <v>73.599999999999994</v>
          </cell>
          <cell r="E587">
            <v>481910</v>
          </cell>
        </row>
        <row r="588">
          <cell r="B588" t="str">
            <v>PSG 4ST Inner Box</v>
          </cell>
          <cell r="C588">
            <v>19.5</v>
          </cell>
          <cell r="E588">
            <v>481910</v>
          </cell>
        </row>
        <row r="589">
          <cell r="B589" t="str">
            <v>PSG 4ST Master Box (w.p)</v>
          </cell>
          <cell r="C589">
            <v>46.5</v>
          </cell>
          <cell r="E589">
            <v>481910</v>
          </cell>
        </row>
        <row r="590">
          <cell r="B590" t="str">
            <v>PSG 7G Inner Box</v>
          </cell>
          <cell r="C590">
            <v>27</v>
          </cell>
          <cell r="E590">
            <v>481910</v>
          </cell>
        </row>
        <row r="591">
          <cell r="B591" t="str">
            <v>PSG 7G Inner Box</v>
          </cell>
          <cell r="C591">
            <v>27</v>
          </cell>
          <cell r="E591">
            <v>481910</v>
          </cell>
        </row>
        <row r="592">
          <cell r="B592" t="str">
            <v>PSG 7G Inner Pad Set</v>
          </cell>
          <cell r="C592">
            <v>15.28</v>
          </cell>
          <cell r="E592">
            <v>481910</v>
          </cell>
        </row>
        <row r="593">
          <cell r="B593" t="str">
            <v>PSG 7G Master Box</v>
          </cell>
          <cell r="C593">
            <v>83.9</v>
          </cell>
          <cell r="E593">
            <v>481910</v>
          </cell>
        </row>
        <row r="594">
          <cell r="B594" t="str">
            <v>PSG 7G MASTER BOX</v>
          </cell>
          <cell r="C594">
            <v>83.9</v>
          </cell>
          <cell r="E594">
            <v>481910</v>
          </cell>
        </row>
        <row r="595">
          <cell r="B595" t="str">
            <v>PSG Buffer Set</v>
          </cell>
          <cell r="C595">
            <v>20.7</v>
          </cell>
          <cell r="E595">
            <v>481910</v>
          </cell>
        </row>
        <row r="596">
          <cell r="B596" t="str">
            <v>PSG BUFFER SET</v>
          </cell>
          <cell r="C596">
            <v>11</v>
          </cell>
        </row>
        <row r="597">
          <cell r="B597" t="str">
            <v>PSG MINE (M.B ) 17.50X11.50X10.50 MASTER BOX</v>
          </cell>
          <cell r="C597">
            <v>48.9</v>
          </cell>
        </row>
        <row r="598">
          <cell r="B598" t="str">
            <v>PSG MINE (M.B ) 280X200X240MM</v>
          </cell>
          <cell r="C598">
            <v>22.1</v>
          </cell>
        </row>
        <row r="599">
          <cell r="B599" t="str">
            <v>SPARTEN 0.50HP INNER BOX</v>
          </cell>
          <cell r="C599">
            <v>17.05</v>
          </cell>
          <cell r="E599">
            <v>481910</v>
          </cell>
        </row>
        <row r="600">
          <cell r="B600" t="str">
            <v>SPARTEN 0.50HP M.BOX</v>
          </cell>
          <cell r="C600">
            <v>52.13</v>
          </cell>
          <cell r="E600">
            <v>481910</v>
          </cell>
        </row>
        <row r="601">
          <cell r="B601" t="str">
            <v>SPARTEN 1HP INNER BOX</v>
          </cell>
        </row>
        <row r="602">
          <cell r="B602" t="str">
            <v>SPARTEN 1HP M.BOX</v>
          </cell>
        </row>
        <row r="603">
          <cell r="B603" t="str">
            <v>SPARTEN EXPORTE BOX 180GSM</v>
          </cell>
        </row>
        <row r="604">
          <cell r="B604" t="str">
            <v>Tormac 320x185x255mm - 7ply Box</v>
          </cell>
        </row>
        <row r="605">
          <cell r="B605" t="str">
            <v>Tormac Buffer Set</v>
          </cell>
        </row>
        <row r="606">
          <cell r="B606" t="str">
            <v>TWSR 0.1 HP INNER BOX</v>
          </cell>
        </row>
        <row r="607">
          <cell r="B607" t="str">
            <v>TWSR 0.1 HP MASTER BOX</v>
          </cell>
        </row>
        <row r="608">
          <cell r="B608" t="str">
            <v>TWSR 0.50 HP BUFFER</v>
          </cell>
        </row>
        <row r="609">
          <cell r="B609" t="str">
            <v>TWSR 0.50 HP INNER BOX</v>
          </cell>
        </row>
        <row r="610">
          <cell r="B610" t="str">
            <v>TWSR 0.50 HP MASTER BOX</v>
          </cell>
        </row>
        <row r="611">
          <cell r="B611" t="str">
            <v>TWSR 1HP BUFFER</v>
          </cell>
        </row>
        <row r="612">
          <cell r="B612" t="str">
            <v>V - Rapid printing sheet</v>
          </cell>
        </row>
        <row r="613">
          <cell r="B613" t="str">
            <v>VARUN M.BOX</v>
          </cell>
        </row>
        <row r="614">
          <cell r="B614" t="str">
            <v>VARUNA INNER BOX</v>
          </cell>
        </row>
        <row r="615">
          <cell r="B615" t="str">
            <v>W.M TOOFAN BUFFER SET</v>
          </cell>
        </row>
        <row r="616">
          <cell r="B616" t="str">
            <v>Waterman  TOOFAN Inner Box</v>
          </cell>
        </row>
        <row r="617">
          <cell r="B617" t="str">
            <v xml:space="preserve">Waterman 4x1 master box </v>
          </cell>
        </row>
        <row r="618">
          <cell r="B618" t="str">
            <v>Waterman Inner Box</v>
          </cell>
        </row>
        <row r="619">
          <cell r="B619" t="str">
            <v>WATERMAN TOOFAN 150 13.50X8.50X11.25</v>
          </cell>
        </row>
        <row r="620">
          <cell r="B620" t="str">
            <v>Waterman TOOFAN Master Box</v>
          </cell>
        </row>
        <row r="621">
          <cell r="B621" t="str">
            <v>WHITE DUPLEX BOARD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B2:D61" totalsRowShown="0" headerRowDxfId="7">
  <autoFilter ref="B2:D61"/>
  <tableColumns count="3">
    <tableColumn id="1" name="Name"/>
    <tableColumn id="2" name="Rate"/>
    <tableColumn id="3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47" totalsRowShown="0" dataDxfId="6">
  <autoFilter ref="B2:G47"/>
  <sortState ref="B3:G46">
    <sortCondition ref="B2:B47"/>
  </sortState>
  <tableColumns count="6">
    <tableColumn id="1" name="Company Name" dataDxfId="5"/>
    <tableColumn id="2" name="Address 1" dataDxfId="4"/>
    <tableColumn id="3" name="-" dataDxfId="3"/>
    <tableColumn id="4" name="Address 2" dataDxfId="2"/>
    <tableColumn id="5" name="City - Pincode" dataDxfId="1"/>
    <tableColumn id="6" name="GSTI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tabSelected="1" view="pageLayout" zoomScaleNormal="100" workbookViewId="0">
      <selection activeCell="C23" sqref="C23"/>
    </sheetView>
  </sheetViews>
  <sheetFormatPr defaultColWidth="8.88671875" defaultRowHeight="14.4" x14ac:dyDescent="0.3"/>
  <cols>
    <col min="1" max="1" width="5.5546875" customWidth="1"/>
    <col min="2" max="2" width="11.88671875" customWidth="1"/>
    <col min="5" max="5" width="8.88671875" customWidth="1"/>
    <col min="6" max="6" width="9.33203125" customWidth="1"/>
    <col min="7" max="7" width="11.6640625" customWidth="1"/>
    <col min="8" max="8" width="8.77734375" customWidth="1"/>
    <col min="9" max="9" width="16" customWidth="1"/>
  </cols>
  <sheetData>
    <row r="1" spans="1:9" x14ac:dyDescent="0.3">
      <c r="A1" s="43" t="s">
        <v>34</v>
      </c>
      <c r="B1" s="44"/>
      <c r="C1" s="9"/>
      <c r="D1" s="9"/>
      <c r="E1" s="10"/>
      <c r="F1" s="5" t="s">
        <v>6</v>
      </c>
      <c r="G1" s="9"/>
      <c r="H1" s="5" t="s">
        <v>7</v>
      </c>
      <c r="I1" s="10"/>
    </row>
    <row r="2" spans="1:9" x14ac:dyDescent="0.3">
      <c r="A2" s="6" t="s">
        <v>304</v>
      </c>
      <c r="B2" s="11"/>
      <c r="C2" s="11"/>
      <c r="D2" s="11"/>
      <c r="E2" s="12"/>
      <c r="F2" s="48" t="s">
        <v>307</v>
      </c>
      <c r="G2" s="14"/>
      <c r="H2" s="87">
        <v>45777</v>
      </c>
      <c r="I2" s="88"/>
    </row>
    <row r="3" spans="1:9" x14ac:dyDescent="0.3">
      <c r="A3" s="6" t="s">
        <v>305</v>
      </c>
      <c r="B3" s="11"/>
      <c r="C3" s="11"/>
      <c r="D3" s="11"/>
      <c r="E3" s="12"/>
      <c r="F3" s="9" t="s">
        <v>24</v>
      </c>
      <c r="G3" s="9"/>
      <c r="H3" s="5" t="s">
        <v>13</v>
      </c>
      <c r="I3" s="10"/>
    </row>
    <row r="4" spans="1:9" x14ac:dyDescent="0.3">
      <c r="A4" s="6" t="s">
        <v>35</v>
      </c>
      <c r="B4" s="11"/>
      <c r="C4" s="11"/>
      <c r="D4" s="11"/>
      <c r="E4" s="12"/>
      <c r="F4" s="81" t="s">
        <v>308</v>
      </c>
      <c r="G4" s="14"/>
      <c r="H4" s="87" t="s">
        <v>309</v>
      </c>
      <c r="I4" s="89"/>
    </row>
    <row r="5" spans="1:9" ht="15" thickBot="1" x14ac:dyDescent="0.35">
      <c r="A5" s="49" t="s">
        <v>40</v>
      </c>
      <c r="B5" s="50"/>
      <c r="C5" s="51"/>
      <c r="D5" s="51"/>
      <c r="E5" s="52"/>
      <c r="F5" s="5" t="s">
        <v>22</v>
      </c>
      <c r="G5" s="9"/>
      <c r="H5" s="5" t="s">
        <v>10</v>
      </c>
      <c r="I5" s="10"/>
    </row>
    <row r="6" spans="1:9" x14ac:dyDescent="0.3">
      <c r="A6" s="6" t="s">
        <v>21</v>
      </c>
      <c r="B6" s="11"/>
      <c r="C6" s="11"/>
      <c r="D6" s="11"/>
      <c r="E6" s="12"/>
      <c r="F6" s="80"/>
      <c r="G6" s="14"/>
      <c r="H6" s="80"/>
      <c r="I6" s="8"/>
    </row>
    <row r="7" spans="1:9" x14ac:dyDescent="0.3">
      <c r="A7" s="27" t="s">
        <v>149</v>
      </c>
      <c r="B7" s="37"/>
      <c r="C7" s="11"/>
      <c r="D7" s="11"/>
      <c r="E7" s="12"/>
      <c r="F7" s="5" t="s">
        <v>11</v>
      </c>
      <c r="G7" s="9"/>
      <c r="H7" s="5" t="s">
        <v>7</v>
      </c>
      <c r="I7" s="10"/>
    </row>
    <row r="8" spans="1:9" x14ac:dyDescent="0.3">
      <c r="A8" s="6" t="str">
        <f>VLOOKUP(A7,'[1]Address Book'!$B$3:$G$1057,2)</f>
        <v>9/23A,23B, Nehru Nagar</v>
      </c>
      <c r="B8" s="11"/>
      <c r="C8" s="11"/>
      <c r="D8" s="11"/>
      <c r="E8" s="12"/>
      <c r="F8" s="80"/>
      <c r="G8" s="14"/>
      <c r="H8" s="87"/>
      <c r="I8" s="96"/>
    </row>
    <row r="9" spans="1:9" x14ac:dyDescent="0.3">
      <c r="A9" s="6" t="str">
        <f>VLOOKUP(A7,'[1]Address Book'!$B$3:$G$1057,4)</f>
        <v>Kalapatti Road</v>
      </c>
      <c r="B9" s="11"/>
      <c r="C9" s="11"/>
      <c r="D9" s="11"/>
      <c r="E9" s="12"/>
      <c r="F9" s="5" t="s">
        <v>39</v>
      </c>
      <c r="G9" s="9"/>
      <c r="H9" s="5" t="s">
        <v>9</v>
      </c>
      <c r="I9" s="10"/>
    </row>
    <row r="10" spans="1:9" x14ac:dyDescent="0.3">
      <c r="A10" s="6" t="str">
        <f>VLOOKUP(A7,'[1]Address Book'!$B$3:$G$1057,5)</f>
        <v>Coimbatore - 641014</v>
      </c>
      <c r="B10" s="11"/>
      <c r="C10" s="11"/>
      <c r="D10" s="11"/>
      <c r="E10" s="12"/>
      <c r="F10" s="40" t="s">
        <v>303</v>
      </c>
      <c r="G10" s="14"/>
      <c r="H10" s="80"/>
      <c r="I10" s="8"/>
    </row>
    <row r="11" spans="1:9" x14ac:dyDescent="0.3">
      <c r="A11" s="31"/>
      <c r="C11" s="11"/>
      <c r="D11" s="11"/>
      <c r="E11" s="12"/>
      <c r="F11" s="5" t="s">
        <v>23</v>
      </c>
      <c r="G11" s="9"/>
      <c r="H11" s="5" t="s">
        <v>15</v>
      </c>
      <c r="I11" s="10"/>
    </row>
    <row r="12" spans="1:9" x14ac:dyDescent="0.3">
      <c r="A12" s="6" t="s">
        <v>248</v>
      </c>
      <c r="B12" s="11" t="str">
        <f>VLOOKUP(A7,'[1]Address Book'!$B$3:$G$1057,6)</f>
        <v>33AADFM1343H1ZQ</v>
      </c>
      <c r="C12" s="11"/>
      <c r="D12" s="11"/>
      <c r="E12" s="12"/>
      <c r="F12" s="80"/>
      <c r="G12" s="14"/>
      <c r="H12" s="80"/>
      <c r="I12" s="8"/>
    </row>
    <row r="13" spans="1:9" x14ac:dyDescent="0.3">
      <c r="A13" s="31"/>
      <c r="D13" s="11"/>
      <c r="E13" s="12"/>
      <c r="F13" s="5" t="s">
        <v>16</v>
      </c>
      <c r="G13" s="9"/>
      <c r="H13" s="9"/>
      <c r="I13" s="10"/>
    </row>
    <row r="14" spans="1:9" x14ac:dyDescent="0.3">
      <c r="A14" s="6"/>
      <c r="B14" s="11"/>
      <c r="C14" s="11"/>
      <c r="D14" s="11"/>
      <c r="E14" s="12"/>
      <c r="F14" s="82"/>
      <c r="G14" s="11"/>
      <c r="H14" s="11"/>
      <c r="I14" s="12"/>
    </row>
    <row r="15" spans="1:9" ht="15" thickBot="1" x14ac:dyDescent="0.35">
      <c r="A15" s="16"/>
      <c r="B15" s="11"/>
      <c r="C15" s="11"/>
      <c r="D15" s="11"/>
      <c r="E15" s="12"/>
      <c r="F15" s="16"/>
      <c r="G15" s="11"/>
      <c r="H15" s="11"/>
      <c r="I15" s="17"/>
    </row>
    <row r="16" spans="1:9" ht="28.8" customHeight="1" thickTop="1" x14ac:dyDescent="0.3">
      <c r="A16" s="18" t="s">
        <v>20</v>
      </c>
      <c r="B16" s="90" t="s">
        <v>25</v>
      </c>
      <c r="C16" s="91"/>
      <c r="D16" s="91"/>
      <c r="E16" s="92"/>
      <c r="F16" s="18" t="s">
        <v>33</v>
      </c>
      <c r="G16" s="19" t="s">
        <v>2</v>
      </c>
      <c r="H16" s="20" t="s">
        <v>3</v>
      </c>
      <c r="I16" s="69" t="s">
        <v>5</v>
      </c>
    </row>
    <row r="17" spans="1:9" x14ac:dyDescent="0.3">
      <c r="A17" s="21"/>
      <c r="B17" s="7"/>
      <c r="C17" s="7"/>
      <c r="D17" s="7"/>
      <c r="E17" s="7"/>
      <c r="F17" s="21"/>
      <c r="G17" s="22"/>
      <c r="H17" s="23"/>
      <c r="I17" s="53"/>
    </row>
    <row r="18" spans="1:9" ht="22.05" customHeight="1" x14ac:dyDescent="0.35">
      <c r="A18" s="57">
        <v>1</v>
      </c>
      <c r="B18" s="54" t="s">
        <v>310</v>
      </c>
      <c r="C18" s="54"/>
      <c r="D18" s="54"/>
      <c r="E18" s="54"/>
      <c r="F18" s="55">
        <f>IF(B18="","",VLOOKUP(B18,'[2]Item List'!B1:E600,4))</f>
        <v>481910</v>
      </c>
      <c r="G18" s="75" t="s">
        <v>311</v>
      </c>
      <c r="H18" s="74">
        <f>IF(B18="","",VLOOKUP(B18,'[2]Item List'!B1:E600,2))</f>
        <v>25.95</v>
      </c>
      <c r="I18" s="68">
        <f t="shared" ref="I18:I29" si="0">IF(B18="","",PRODUCT(H18,LEFT(G18,LEN(G18)-3)))</f>
        <v>10250.25</v>
      </c>
    </row>
    <row r="19" spans="1:9" ht="21.45" customHeight="1" x14ac:dyDescent="0.35">
      <c r="A19" s="57">
        <v>2</v>
      </c>
      <c r="B19" s="54" t="s">
        <v>312</v>
      </c>
      <c r="C19" s="54"/>
      <c r="D19" s="54"/>
      <c r="E19" s="54"/>
      <c r="F19" s="55">
        <f>IF(B19="","",VLOOKUP(B19,'[2]Item List'!B1:E600,4))</f>
        <v>481910</v>
      </c>
      <c r="G19" s="56" t="s">
        <v>313</v>
      </c>
      <c r="H19" s="74">
        <f>IF(B19="","",VLOOKUP(B19,'[2]Item List'!B1:D600,2))</f>
        <v>48.8</v>
      </c>
      <c r="I19" s="68">
        <f t="shared" si="0"/>
        <v>9760</v>
      </c>
    </row>
    <row r="20" spans="1:9" ht="21.45" customHeight="1" x14ac:dyDescent="0.35">
      <c r="A20" s="57">
        <v>3</v>
      </c>
      <c r="B20" s="54" t="s">
        <v>314</v>
      </c>
      <c r="C20" s="54"/>
      <c r="D20" s="54"/>
      <c r="E20" s="54"/>
      <c r="F20" s="55">
        <f>IF(B20="","",VLOOKUP(B20,'[2]Item List'!B1:E600,4))</f>
        <v>481910</v>
      </c>
      <c r="G20" s="56" t="s">
        <v>315</v>
      </c>
      <c r="H20" s="74">
        <f>IF(B20="","",VLOOKUP(B20,'[2]Item List'!B1:D600,2))</f>
        <v>9</v>
      </c>
      <c r="I20" s="68">
        <f t="shared" si="0"/>
        <v>9180</v>
      </c>
    </row>
    <row r="21" spans="1:9" ht="21.45" customHeight="1" x14ac:dyDescent="0.35">
      <c r="A21" s="57">
        <v>4</v>
      </c>
      <c r="B21" s="54" t="s">
        <v>316</v>
      </c>
      <c r="C21" s="54"/>
      <c r="D21" s="54"/>
      <c r="E21" s="65"/>
      <c r="F21" s="55">
        <f>IF(B21="","",VLOOKUP(B21,'[2]Item List'!B1:E600,4))</f>
        <v>481910</v>
      </c>
      <c r="G21" s="66" t="s">
        <v>317</v>
      </c>
      <c r="H21" s="76">
        <v>21.87</v>
      </c>
      <c r="I21" s="68">
        <f t="shared" si="0"/>
        <v>8748</v>
      </c>
    </row>
    <row r="22" spans="1:9" ht="21.45" customHeight="1" x14ac:dyDescent="0.35">
      <c r="A22" s="67">
        <v>5</v>
      </c>
      <c r="B22" s="54" t="s">
        <v>318</v>
      </c>
      <c r="C22" s="54"/>
      <c r="D22" s="54"/>
      <c r="E22" s="65"/>
      <c r="F22" s="55">
        <f>IF(B22="","",VLOOKUP(B22,'[2]Item List'!B1:E600,4))</f>
        <v>481910</v>
      </c>
      <c r="G22" s="66" t="s">
        <v>313</v>
      </c>
      <c r="H22" s="74">
        <v>48.8</v>
      </c>
      <c r="I22" s="68">
        <f t="shared" si="0"/>
        <v>9760</v>
      </c>
    </row>
    <row r="23" spans="1:9" ht="22.05" customHeight="1" x14ac:dyDescent="0.35">
      <c r="A23" s="64"/>
      <c r="B23" s="54"/>
      <c r="C23" s="54"/>
      <c r="D23" s="54"/>
      <c r="E23" s="65"/>
      <c r="F23" s="55" t="str">
        <f>IF(B23="","",VLOOKUP(B23,'[2]Item List'!B1:E600,4))</f>
        <v/>
      </c>
      <c r="G23" s="66"/>
      <c r="H23" s="74" t="str">
        <f>IF(B23="","",VLOOKUP(B23,'[2]Item List'!B1:D600,2))</f>
        <v/>
      </c>
      <c r="I23" s="68" t="str">
        <f t="shared" si="0"/>
        <v/>
      </c>
    </row>
    <row r="24" spans="1:9" ht="22.05" customHeight="1" x14ac:dyDescent="0.35">
      <c r="A24" s="64"/>
      <c r="B24" s="54"/>
      <c r="C24" s="54"/>
      <c r="D24" s="54"/>
      <c r="E24" s="65"/>
      <c r="F24" s="55" t="str">
        <f>IF(B24="","",VLOOKUP(B24,'[2]Item List'!B1:E600,4))</f>
        <v/>
      </c>
      <c r="G24" s="66"/>
      <c r="H24" s="74" t="str">
        <f>IF(B24="","",VLOOKUP(B24,'[2]Item List'!B1:D600,2))</f>
        <v/>
      </c>
      <c r="I24" s="68" t="str">
        <f t="shared" si="0"/>
        <v/>
      </c>
    </row>
    <row r="25" spans="1:9" ht="22.05" customHeight="1" x14ac:dyDescent="0.35">
      <c r="A25" s="24"/>
      <c r="B25" s="54"/>
      <c r="C25" s="54"/>
      <c r="D25" s="54"/>
      <c r="E25" s="65"/>
      <c r="F25" s="55" t="str">
        <f>IF(B25="","",VLOOKUP(B25,'[2]Item List'!B1:E600,4))</f>
        <v/>
      </c>
      <c r="G25" s="66"/>
      <c r="H25" s="74" t="str">
        <f>IF(B25="","",VLOOKUP(B25,'[2]Item List'!B1:D600,2))</f>
        <v/>
      </c>
      <c r="I25" s="68" t="str">
        <f t="shared" si="0"/>
        <v/>
      </c>
    </row>
    <row r="26" spans="1:9" ht="22.05" customHeight="1" x14ac:dyDescent="0.35">
      <c r="A26" s="24"/>
      <c r="B26" s="54"/>
      <c r="C26" s="54"/>
      <c r="D26" s="54"/>
      <c r="E26" s="54"/>
      <c r="F26" s="55" t="str">
        <f>IF(B26="","",VLOOKUP(B26,'[2]Item List'!B1:E600,4))</f>
        <v/>
      </c>
      <c r="G26" s="56"/>
      <c r="H26" s="74" t="str">
        <f>IF(B26="","",VLOOKUP(B26,'[2]Item List'!B1:D600,2))</f>
        <v/>
      </c>
      <c r="I26" s="68" t="str">
        <f t="shared" si="0"/>
        <v/>
      </c>
    </row>
    <row r="27" spans="1:9" ht="22.05" customHeight="1" x14ac:dyDescent="0.35">
      <c r="A27" s="24"/>
      <c r="B27" s="54"/>
      <c r="C27" s="54"/>
      <c r="D27" s="54"/>
      <c r="E27" s="54"/>
      <c r="F27" s="55" t="str">
        <f>IF(B27="","",VLOOKUP(B27,'[2]Item List'!B1:E600,4))</f>
        <v/>
      </c>
      <c r="G27" s="56"/>
      <c r="H27" s="74" t="str">
        <f>IF(B27="","",VLOOKUP(B27,'[2]Item List'!B1:D600,2))</f>
        <v/>
      </c>
      <c r="I27" s="68" t="str">
        <f t="shared" si="0"/>
        <v/>
      </c>
    </row>
    <row r="28" spans="1:9" ht="22.05" customHeight="1" x14ac:dyDescent="0.35">
      <c r="A28" s="24"/>
      <c r="B28" s="54"/>
      <c r="C28" s="54"/>
      <c r="D28" s="54"/>
      <c r="E28" s="54"/>
      <c r="F28" s="55" t="str">
        <f>IF(B28="","",VLOOKUP(B28,'[2]Item List'!B1:E600,4))</f>
        <v/>
      </c>
      <c r="G28" s="56"/>
      <c r="H28" s="74" t="str">
        <f>IF(B28="","",VLOOKUP(B28,'[2]Item List'!B1:D600,2))</f>
        <v/>
      </c>
      <c r="I28" s="68" t="str">
        <f t="shared" si="0"/>
        <v/>
      </c>
    </row>
    <row r="29" spans="1:9" ht="22.05" customHeight="1" x14ac:dyDescent="0.35">
      <c r="A29" s="24"/>
      <c r="B29" s="54"/>
      <c r="C29" s="54"/>
      <c r="D29" s="54"/>
      <c r="E29" s="54"/>
      <c r="F29" s="55" t="str">
        <f>IF(B29="","",VLOOKUP(B29,'[2]Item List'!B1:E600,4))</f>
        <v/>
      </c>
      <c r="G29" s="56"/>
      <c r="H29" s="77" t="str">
        <f>IF(B29="","",VLOOKUP(B29,'[2]Item List'!B1:D600,2))</f>
        <v/>
      </c>
      <c r="I29" s="68" t="str">
        <f t="shared" si="0"/>
        <v/>
      </c>
    </row>
    <row r="30" spans="1:9" ht="15" thickBot="1" x14ac:dyDescent="0.35">
      <c r="A30" s="25"/>
      <c r="B30" s="26"/>
      <c r="C30" s="26"/>
      <c r="D30" s="26"/>
      <c r="E30" s="26"/>
      <c r="F30" s="58"/>
      <c r="G30" s="59" t="s">
        <v>31</v>
      </c>
      <c r="H30" s="60"/>
      <c r="I30" s="70">
        <f>SUM(I18:I29)</f>
        <v>47698.25</v>
      </c>
    </row>
    <row r="31" spans="1:9" x14ac:dyDescent="0.3">
      <c r="A31" s="6" t="s">
        <v>26</v>
      </c>
      <c r="B31" s="7"/>
      <c r="C31" s="7"/>
      <c r="D31" s="7"/>
      <c r="E31" s="32"/>
      <c r="F31" s="28"/>
      <c r="G31" s="61" t="str">
        <f>IF(A7="Virgin Paper","CGST @2.5%", IF(F18=44152000,"CGST @6%","CGST @6%"))</f>
        <v>CGST @6%</v>
      </c>
      <c r="H31" s="37"/>
      <c r="I31" s="73">
        <f>IF(A7="Virgin Paper",MROUND(TRUNC(PRODUCT(I30,0.025),2),0.01),IF(F18=44152000,MROUND(TRUNC(PRODUCT(I30,0.06),2),0.01),MROUND(TRUNC(PRODUCT(I30,0.06),2),0.01)))</f>
        <v>2861.89</v>
      </c>
    </row>
    <row r="32" spans="1:9" x14ac:dyDescent="0.3">
      <c r="A32" s="93" t="str">
        <f>SpellIndian(I34)</f>
        <v>Rupees Fifty Three Thousand Four Hundred Twenty Two Only</v>
      </c>
      <c r="B32" s="94"/>
      <c r="C32" s="94"/>
      <c r="D32" s="94"/>
      <c r="E32" s="95"/>
      <c r="F32" s="62"/>
      <c r="G32" s="61" t="str">
        <f>IF(A7="Virgin Paper","SGST @2.5%", IF(F18=44152000,"SGST @6%","SGST @6%"))</f>
        <v>SGST @6%</v>
      </c>
      <c r="H32" s="63"/>
      <c r="I32" s="73">
        <f>IF(A7="Virgin Paper",MROUND(TRUNC(PRODUCT(I30,0.025),2),0.01),IF(F18=44152000,MROUND(TRUNC(PRODUCT(I30,0.06),2),0.01),MROUND(TRUNC(PRODUCT(I30,0.06),2),0.01)))</f>
        <v>2861.89</v>
      </c>
    </row>
    <row r="33" spans="1:9" x14ac:dyDescent="0.3">
      <c r="A33" s="93"/>
      <c r="B33" s="94"/>
      <c r="C33" s="94"/>
      <c r="D33" s="94"/>
      <c r="E33" s="95"/>
      <c r="F33" s="40"/>
      <c r="G33" s="42" t="s">
        <v>38</v>
      </c>
      <c r="H33" s="41"/>
      <c r="I33" s="72">
        <f>SUM(-I30,-I31,-I32,MROUND(SUM(I30:I32),1))</f>
        <v>-2.9999999998835847E-2</v>
      </c>
    </row>
    <row r="34" spans="1:9" x14ac:dyDescent="0.3">
      <c r="A34" s="31"/>
      <c r="B34" s="85"/>
      <c r="C34" s="86"/>
      <c r="D34" s="85"/>
      <c r="E34" s="71"/>
      <c r="F34" s="14"/>
      <c r="G34" s="42" t="s">
        <v>32</v>
      </c>
      <c r="H34" s="13"/>
      <c r="I34" s="70">
        <f>MROUND(SUM(SUM(I30:I32),I33),1)</f>
        <v>53422</v>
      </c>
    </row>
    <row r="35" spans="1:9" ht="15.6" x14ac:dyDescent="0.35">
      <c r="A35" s="84" t="s">
        <v>306</v>
      </c>
      <c r="E35" s="33"/>
      <c r="F35" s="37" t="s">
        <v>36</v>
      </c>
      <c r="G35" s="46"/>
      <c r="H35" s="11" t="s">
        <v>37</v>
      </c>
      <c r="I35" s="12"/>
    </row>
    <row r="36" spans="1:9" x14ac:dyDescent="0.3">
      <c r="A36" s="34" t="s">
        <v>30</v>
      </c>
      <c r="B36" s="35"/>
      <c r="C36" s="7"/>
      <c r="D36" s="7"/>
      <c r="E36" s="12"/>
      <c r="F36" s="11" t="s">
        <v>41</v>
      </c>
      <c r="G36" s="12"/>
      <c r="H36" s="11"/>
      <c r="I36" s="12"/>
    </row>
    <row r="37" spans="1:9" x14ac:dyDescent="0.3">
      <c r="A37" s="6" t="s">
        <v>27</v>
      </c>
      <c r="B37" s="7"/>
      <c r="C37" s="7"/>
      <c r="D37" s="7"/>
      <c r="E37" s="12"/>
      <c r="F37" s="11" t="s">
        <v>42</v>
      </c>
      <c r="G37" s="12"/>
      <c r="H37" s="38"/>
      <c r="I37" s="33"/>
    </row>
    <row r="38" spans="1:9" ht="15.6" x14ac:dyDescent="0.35">
      <c r="A38" s="6" t="s">
        <v>28</v>
      </c>
      <c r="B38" s="11"/>
      <c r="C38" s="11"/>
      <c r="D38" s="11"/>
      <c r="E38" s="12"/>
      <c r="F38" s="45" t="s">
        <v>43</v>
      </c>
      <c r="G38" s="47"/>
      <c r="I38" s="33"/>
    </row>
    <row r="39" spans="1:9" x14ac:dyDescent="0.3">
      <c r="A39" s="29" t="s">
        <v>29</v>
      </c>
      <c r="B39" s="15"/>
      <c r="C39" s="15"/>
      <c r="D39" s="15"/>
      <c r="E39" s="30"/>
      <c r="F39" s="13" t="s">
        <v>44</v>
      </c>
      <c r="G39" s="8"/>
      <c r="H39" s="39"/>
      <c r="I39" s="83" t="s">
        <v>45</v>
      </c>
    </row>
    <row r="40" spans="1:9" x14ac:dyDescent="0.3">
      <c r="B40" s="38"/>
      <c r="C40" s="38"/>
      <c r="D40" s="38"/>
      <c r="E40" s="38"/>
      <c r="F40" s="11"/>
      <c r="G40" s="11"/>
      <c r="H40" s="36"/>
      <c r="I40" s="38"/>
    </row>
    <row r="43" spans="1:9" x14ac:dyDescent="0.3">
      <c r="G43" s="45"/>
    </row>
  </sheetData>
  <mergeCells count="5">
    <mergeCell ref="H2:I2"/>
    <mergeCell ref="H4:I4"/>
    <mergeCell ref="B16:E16"/>
    <mergeCell ref="A32:E33"/>
    <mergeCell ref="H8:I8"/>
  </mergeCells>
  <dataValidations count="2">
    <dataValidation type="list" allowBlank="1" showInputMessage="1" showErrorMessage="1" sqref="A7">
      <formula1>CompanyName</formula1>
    </dataValidation>
    <dataValidation type="list" allowBlank="1" showInputMessage="1" showErrorMessage="1" sqref="B18:B29">
      <formula1>ItemList</formula1>
    </dataValidation>
  </dataValidations>
  <pageMargins left="0.68333333333333335" right="0.7" top="0.75" bottom="0.75" header="0.3" footer="0.3"/>
  <pageSetup orientation="portrait" r:id="rId1"/>
  <headerFooter>
    <oddHeader>&amp;C&amp;"Arial Unicode MS,Bold"&amp;12INVOICE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8"/>
  <sheetViews>
    <sheetView topLeftCell="A3" workbookViewId="0">
      <selection activeCell="D61" sqref="D61"/>
    </sheetView>
  </sheetViews>
  <sheetFormatPr defaultRowHeight="14.4" x14ac:dyDescent="0.3"/>
  <cols>
    <col min="2" max="2" width="38.44140625" customWidth="1"/>
    <col min="3" max="3" width="17.77734375" customWidth="1"/>
  </cols>
  <sheetData>
    <row r="2" spans="2:4" x14ac:dyDescent="0.3">
      <c r="B2" s="7" t="s">
        <v>249</v>
      </c>
      <c r="C2" s="7" t="s">
        <v>3</v>
      </c>
      <c r="D2" s="7" t="s">
        <v>250</v>
      </c>
    </row>
    <row r="3" spans="2:4" x14ac:dyDescent="0.3">
      <c r="B3" s="7" t="s">
        <v>251</v>
      </c>
      <c r="C3" s="79">
        <v>43</v>
      </c>
    </row>
    <row r="4" spans="2:4" x14ac:dyDescent="0.3">
      <c r="B4" s="7" t="s">
        <v>252</v>
      </c>
      <c r="C4" s="79">
        <v>41</v>
      </c>
    </row>
    <row r="5" spans="2:4" x14ac:dyDescent="0.3">
      <c r="B5" s="7" t="s">
        <v>253</v>
      </c>
      <c r="C5" s="79">
        <v>37</v>
      </c>
    </row>
    <row r="6" spans="2:4" x14ac:dyDescent="0.3">
      <c r="B6" s="7" t="s">
        <v>254</v>
      </c>
      <c r="C6" s="79">
        <v>35</v>
      </c>
    </row>
    <row r="7" spans="2:4" x14ac:dyDescent="0.3">
      <c r="B7" s="7" t="s">
        <v>255</v>
      </c>
      <c r="C7" s="79">
        <v>15.5</v>
      </c>
    </row>
    <row r="8" spans="2:4" x14ac:dyDescent="0.3">
      <c r="B8" s="7"/>
      <c r="C8" s="79"/>
    </row>
    <row r="9" spans="2:4" x14ac:dyDescent="0.3">
      <c r="B9" s="7" t="s">
        <v>256</v>
      </c>
      <c r="C9" s="79">
        <v>30</v>
      </c>
    </row>
    <row r="10" spans="2:4" x14ac:dyDescent="0.3">
      <c r="B10" s="7" t="s">
        <v>257</v>
      </c>
      <c r="C10" s="79">
        <v>41</v>
      </c>
    </row>
    <row r="11" spans="2:4" x14ac:dyDescent="0.3">
      <c r="B11" s="7" t="s">
        <v>258</v>
      </c>
      <c r="C11" s="79">
        <v>36</v>
      </c>
    </row>
    <row r="12" spans="2:4" x14ac:dyDescent="0.3">
      <c r="B12" s="7" t="s">
        <v>259</v>
      </c>
      <c r="C12" s="79">
        <v>46</v>
      </c>
    </row>
    <row r="13" spans="2:4" x14ac:dyDescent="0.3">
      <c r="B13" s="7" t="s">
        <v>260</v>
      </c>
      <c r="C13" s="79">
        <v>49</v>
      </c>
    </row>
    <row r="14" spans="2:4" x14ac:dyDescent="0.3">
      <c r="B14" s="7" t="s">
        <v>261</v>
      </c>
      <c r="C14" s="79">
        <v>111.73</v>
      </c>
    </row>
    <row r="15" spans="2:4" x14ac:dyDescent="0.3">
      <c r="B15" s="7"/>
      <c r="C15" s="79"/>
    </row>
    <row r="16" spans="2:4" x14ac:dyDescent="0.3">
      <c r="B16" s="7" t="s">
        <v>262</v>
      </c>
      <c r="C16" s="79">
        <v>825</v>
      </c>
    </row>
    <row r="17" spans="2:3" x14ac:dyDescent="0.3">
      <c r="B17" s="7" t="s">
        <v>263</v>
      </c>
      <c r="C17" s="79">
        <v>460</v>
      </c>
    </row>
    <row r="18" spans="2:3" x14ac:dyDescent="0.3">
      <c r="B18" s="7" t="s">
        <v>264</v>
      </c>
      <c r="C18" s="79">
        <v>21</v>
      </c>
    </row>
    <row r="19" spans="2:3" x14ac:dyDescent="0.3">
      <c r="B19" s="7" t="s">
        <v>265</v>
      </c>
      <c r="C19" s="79">
        <v>40</v>
      </c>
    </row>
    <row r="20" spans="2:3" x14ac:dyDescent="0.3">
      <c r="B20" s="7" t="s">
        <v>266</v>
      </c>
      <c r="C20" s="79">
        <v>675</v>
      </c>
    </row>
    <row r="21" spans="2:3" x14ac:dyDescent="0.3">
      <c r="B21" s="7" t="s">
        <v>267</v>
      </c>
      <c r="C21" s="79">
        <v>749</v>
      </c>
    </row>
    <row r="22" spans="2:3" x14ac:dyDescent="0.3">
      <c r="B22" s="7" t="s">
        <v>268</v>
      </c>
      <c r="C22" s="79">
        <v>623</v>
      </c>
    </row>
    <row r="23" spans="2:3" x14ac:dyDescent="0.3">
      <c r="B23" s="7" t="s">
        <v>269</v>
      </c>
      <c r="C23" s="79">
        <v>665</v>
      </c>
    </row>
    <row r="24" spans="2:3" x14ac:dyDescent="0.3">
      <c r="B24" s="7" t="s">
        <v>270</v>
      </c>
      <c r="C24" s="79">
        <v>879</v>
      </c>
    </row>
    <row r="25" spans="2:3" x14ac:dyDescent="0.3">
      <c r="B25" s="7" t="s">
        <v>271</v>
      </c>
      <c r="C25" s="79">
        <v>209.96</v>
      </c>
    </row>
    <row r="26" spans="2:3" x14ac:dyDescent="0.3">
      <c r="B26" s="7" t="s">
        <v>272</v>
      </c>
      <c r="C26" s="79">
        <v>277</v>
      </c>
    </row>
    <row r="27" spans="2:3" x14ac:dyDescent="0.3">
      <c r="B27" s="7" t="s">
        <v>273</v>
      </c>
      <c r="C27" s="79">
        <v>348</v>
      </c>
    </row>
    <row r="28" spans="2:3" x14ac:dyDescent="0.3">
      <c r="B28" s="7" t="s">
        <v>274</v>
      </c>
      <c r="C28" s="79">
        <v>366</v>
      </c>
    </row>
    <row r="29" spans="2:3" x14ac:dyDescent="0.3">
      <c r="B29" s="7"/>
      <c r="C29" s="79"/>
    </row>
    <row r="30" spans="2:3" x14ac:dyDescent="0.3">
      <c r="B30" s="7" t="s">
        <v>275</v>
      </c>
      <c r="C30" s="79">
        <v>16.5</v>
      </c>
    </row>
    <row r="31" spans="2:3" x14ac:dyDescent="0.3">
      <c r="B31" s="7" t="s">
        <v>276</v>
      </c>
      <c r="C31" s="79">
        <v>11.75</v>
      </c>
    </row>
    <row r="32" spans="2:3" x14ac:dyDescent="0.3">
      <c r="B32" s="7" t="s">
        <v>277</v>
      </c>
      <c r="C32" s="79">
        <v>7.8</v>
      </c>
    </row>
    <row r="33" spans="2:3" x14ac:dyDescent="0.3">
      <c r="B33" s="7" t="s">
        <v>278</v>
      </c>
      <c r="C33" s="79">
        <v>169</v>
      </c>
    </row>
    <row r="34" spans="2:3" x14ac:dyDescent="0.3">
      <c r="B34" s="7" t="s">
        <v>279</v>
      </c>
      <c r="C34" s="79">
        <v>57.3</v>
      </c>
    </row>
    <row r="35" spans="2:3" x14ac:dyDescent="0.3">
      <c r="B35" s="7"/>
      <c r="C35" s="79"/>
    </row>
    <row r="36" spans="2:3" x14ac:dyDescent="0.3">
      <c r="B36" s="7" t="s">
        <v>280</v>
      </c>
      <c r="C36" s="79">
        <v>41.65</v>
      </c>
    </row>
    <row r="37" spans="2:3" x14ac:dyDescent="0.3">
      <c r="B37" s="7" t="s">
        <v>281</v>
      </c>
      <c r="C37" s="79">
        <v>39.200000000000003</v>
      </c>
    </row>
    <row r="38" spans="2:3" x14ac:dyDescent="0.3">
      <c r="B38" s="7"/>
      <c r="C38" s="79"/>
    </row>
    <row r="39" spans="2:3" x14ac:dyDescent="0.3">
      <c r="B39" s="7" t="s">
        <v>282</v>
      </c>
      <c r="C39" s="79">
        <v>9.32</v>
      </c>
    </row>
    <row r="40" spans="2:3" x14ac:dyDescent="0.3">
      <c r="B40" s="7" t="s">
        <v>283</v>
      </c>
      <c r="C40" s="79">
        <v>346</v>
      </c>
    </row>
    <row r="41" spans="2:3" x14ac:dyDescent="0.3">
      <c r="B41" s="7" t="s">
        <v>284</v>
      </c>
      <c r="C41" s="79">
        <v>24</v>
      </c>
    </row>
    <row r="42" spans="2:3" x14ac:dyDescent="0.3">
      <c r="B42" s="7" t="s">
        <v>285</v>
      </c>
      <c r="C42" s="79">
        <v>9.5</v>
      </c>
    </row>
    <row r="43" spans="2:3" x14ac:dyDescent="0.3">
      <c r="B43" s="7" t="s">
        <v>286</v>
      </c>
      <c r="C43" s="7">
        <v>9.83</v>
      </c>
    </row>
    <row r="44" spans="2:3" x14ac:dyDescent="0.3">
      <c r="B44" s="7" t="s">
        <v>287</v>
      </c>
      <c r="C44" s="79">
        <v>25.9</v>
      </c>
    </row>
    <row r="46" spans="2:3" x14ac:dyDescent="0.3">
      <c r="B46" s="7" t="s">
        <v>288</v>
      </c>
      <c r="C46" s="79">
        <v>42.71</v>
      </c>
    </row>
    <row r="47" spans="2:3" x14ac:dyDescent="0.3">
      <c r="B47" s="7" t="s">
        <v>294</v>
      </c>
      <c r="C47" s="79">
        <v>42.2</v>
      </c>
    </row>
    <row r="48" spans="2:3" x14ac:dyDescent="0.3">
      <c r="B48" s="7" t="s">
        <v>289</v>
      </c>
      <c r="C48" s="79">
        <v>32.869999999999997</v>
      </c>
    </row>
    <row r="49" spans="2:3" x14ac:dyDescent="0.3">
      <c r="B49" s="7" t="s">
        <v>290</v>
      </c>
      <c r="C49" s="79">
        <v>47.3</v>
      </c>
    </row>
    <row r="50" spans="2:3" x14ac:dyDescent="0.3">
      <c r="B50" s="7" t="s">
        <v>291</v>
      </c>
      <c r="C50" s="79">
        <v>31.56</v>
      </c>
    </row>
    <row r="51" spans="2:3" x14ac:dyDescent="0.3">
      <c r="B51" s="7" t="s">
        <v>292</v>
      </c>
      <c r="C51" s="79">
        <v>50.73</v>
      </c>
    </row>
    <row r="52" spans="2:3" x14ac:dyDescent="0.3">
      <c r="B52" s="7" t="s">
        <v>293</v>
      </c>
      <c r="C52" s="79">
        <v>39.799999999999997</v>
      </c>
    </row>
    <row r="53" spans="2:3" x14ac:dyDescent="0.3">
      <c r="B53" s="7"/>
      <c r="C53" s="79"/>
    </row>
    <row r="54" spans="2:3" x14ac:dyDescent="0.3">
      <c r="B54" s="7" t="s">
        <v>295</v>
      </c>
      <c r="C54" s="79">
        <v>28.5</v>
      </c>
    </row>
    <row r="55" spans="2:3" x14ac:dyDescent="0.3">
      <c r="B55" s="7" t="s">
        <v>296</v>
      </c>
      <c r="C55" s="79">
        <v>33.75</v>
      </c>
    </row>
    <row r="56" spans="2:3" x14ac:dyDescent="0.3">
      <c r="B56" s="7" t="s">
        <v>297</v>
      </c>
      <c r="C56" s="79">
        <v>73.17</v>
      </c>
    </row>
    <row r="57" spans="2:3" x14ac:dyDescent="0.3">
      <c r="B57" s="7" t="s">
        <v>298</v>
      </c>
      <c r="C57" s="79">
        <v>79.56</v>
      </c>
    </row>
    <row r="58" spans="2:3" x14ac:dyDescent="0.3">
      <c r="B58" s="7" t="s">
        <v>299</v>
      </c>
      <c r="C58" s="79">
        <v>9</v>
      </c>
    </row>
    <row r="59" spans="2:3" x14ac:dyDescent="0.3">
      <c r="B59" s="7" t="s">
        <v>300</v>
      </c>
      <c r="C59" s="79">
        <v>3.9</v>
      </c>
    </row>
    <row r="60" spans="2:3" x14ac:dyDescent="0.3">
      <c r="B60" s="7" t="s">
        <v>301</v>
      </c>
      <c r="C60" s="79">
        <v>23.34</v>
      </c>
    </row>
    <row r="61" spans="2:3" x14ac:dyDescent="0.3">
      <c r="B61" s="7" t="s">
        <v>302</v>
      </c>
      <c r="C61" s="79">
        <v>50.4</v>
      </c>
    </row>
    <row r="62" spans="2:3" x14ac:dyDescent="0.3">
      <c r="B62" s="7"/>
      <c r="C62" s="79"/>
    </row>
    <row r="63" spans="2:3" x14ac:dyDescent="0.3">
      <c r="B63" s="7"/>
      <c r="C63" s="79"/>
    </row>
    <row r="64" spans="2:3" x14ac:dyDescent="0.3">
      <c r="B64" s="7"/>
      <c r="C64" s="79"/>
    </row>
    <row r="65" spans="2:3" x14ac:dyDescent="0.3">
      <c r="B65" s="7"/>
      <c r="C65" s="79"/>
    </row>
    <row r="66" spans="2:3" x14ac:dyDescent="0.3">
      <c r="B66" s="7"/>
      <c r="C66" s="79"/>
    </row>
    <row r="67" spans="2:3" x14ac:dyDescent="0.3">
      <c r="B67" s="7"/>
      <c r="C67" s="79"/>
    </row>
    <row r="68" spans="2:3" x14ac:dyDescent="0.3">
      <c r="B68" s="7"/>
      <c r="C68" s="79"/>
    </row>
    <row r="69" spans="2:3" x14ac:dyDescent="0.3">
      <c r="B69" s="7"/>
      <c r="C69" s="79"/>
    </row>
    <row r="70" spans="2:3" x14ac:dyDescent="0.3">
      <c r="B70" s="7"/>
      <c r="C70" s="79"/>
    </row>
    <row r="71" spans="2:3" x14ac:dyDescent="0.3">
      <c r="B71" s="7"/>
      <c r="C71" s="79"/>
    </row>
    <row r="72" spans="2:3" x14ac:dyDescent="0.3">
      <c r="B72" s="7"/>
      <c r="C72" s="79"/>
    </row>
    <row r="73" spans="2:3" x14ac:dyDescent="0.3">
      <c r="B73" s="7"/>
      <c r="C73" s="79"/>
    </row>
    <row r="74" spans="2:3" x14ac:dyDescent="0.3">
      <c r="B74" s="7"/>
      <c r="C74" s="79"/>
    </row>
    <row r="75" spans="2:3" x14ac:dyDescent="0.3">
      <c r="B75" s="7"/>
      <c r="C75" s="79"/>
    </row>
    <row r="76" spans="2:3" x14ac:dyDescent="0.3">
      <c r="B76" s="7"/>
      <c r="C76" s="79"/>
    </row>
    <row r="77" spans="2:3" x14ac:dyDescent="0.3">
      <c r="B77" s="7"/>
      <c r="C77" s="79"/>
    </row>
    <row r="78" spans="2:3" x14ac:dyDescent="0.3">
      <c r="B78" s="7"/>
      <c r="C78" s="79"/>
    </row>
    <row r="79" spans="2:3" x14ac:dyDescent="0.3">
      <c r="B79" s="7"/>
      <c r="C79" s="79"/>
    </row>
    <row r="80" spans="2:3" x14ac:dyDescent="0.3">
      <c r="B80" s="7"/>
      <c r="C80" s="79"/>
    </row>
    <row r="81" spans="2:3" x14ac:dyDescent="0.3">
      <c r="B81" s="7"/>
      <c r="C81" s="79"/>
    </row>
    <row r="82" spans="2:3" x14ac:dyDescent="0.3">
      <c r="B82" s="7"/>
      <c r="C82" s="79"/>
    </row>
    <row r="83" spans="2:3" x14ac:dyDescent="0.3">
      <c r="B83" s="7"/>
      <c r="C83" s="79"/>
    </row>
    <row r="84" spans="2:3" x14ac:dyDescent="0.3">
      <c r="B84" s="7"/>
      <c r="C84" s="79"/>
    </row>
    <row r="85" spans="2:3" x14ac:dyDescent="0.3">
      <c r="B85" s="7"/>
      <c r="C85" s="79"/>
    </row>
    <row r="86" spans="2:3" x14ac:dyDescent="0.3">
      <c r="B86" s="7"/>
      <c r="C86" s="79"/>
    </row>
    <row r="87" spans="2:3" x14ac:dyDescent="0.3">
      <c r="B87" s="7"/>
      <c r="C87" s="79"/>
    </row>
    <row r="88" spans="2:3" x14ac:dyDescent="0.3">
      <c r="B88" s="7"/>
      <c r="C88" s="79"/>
    </row>
    <row r="89" spans="2:3" x14ac:dyDescent="0.3">
      <c r="B89" s="7"/>
      <c r="C89" s="79"/>
    </row>
    <row r="90" spans="2:3" x14ac:dyDescent="0.3">
      <c r="B90" s="7"/>
      <c r="C90" s="79"/>
    </row>
    <row r="91" spans="2:3" x14ac:dyDescent="0.3">
      <c r="B91" s="7"/>
      <c r="C91" s="79"/>
    </row>
    <row r="92" spans="2:3" x14ac:dyDescent="0.3">
      <c r="B92" s="7"/>
      <c r="C92" s="79"/>
    </row>
    <row r="93" spans="2:3" x14ac:dyDescent="0.3">
      <c r="B93" s="7"/>
      <c r="C93" s="79"/>
    </row>
    <row r="94" spans="2:3" x14ac:dyDescent="0.3">
      <c r="B94" s="7"/>
      <c r="C94" s="79"/>
    </row>
    <row r="95" spans="2:3" x14ac:dyDescent="0.3">
      <c r="B95" s="7"/>
      <c r="C95" s="79"/>
    </row>
    <row r="96" spans="2:3" x14ac:dyDescent="0.3">
      <c r="B96" s="7"/>
      <c r="C96" s="7"/>
    </row>
    <row r="97" spans="2:3" x14ac:dyDescent="0.3">
      <c r="B97" s="7"/>
      <c r="C97" s="7"/>
    </row>
    <row r="98" spans="2:3" x14ac:dyDescent="0.3">
      <c r="B98" s="7"/>
      <c r="C98" s="7"/>
    </row>
    <row r="99" spans="2:3" x14ac:dyDescent="0.3">
      <c r="B99" s="7"/>
      <c r="C99" s="7"/>
    </row>
    <row r="100" spans="2:3" x14ac:dyDescent="0.3">
      <c r="B100" s="7"/>
      <c r="C100" s="7"/>
    </row>
    <row r="101" spans="2:3" x14ac:dyDescent="0.3">
      <c r="B101" s="7"/>
      <c r="C101" s="7"/>
    </row>
    <row r="102" spans="2:3" x14ac:dyDescent="0.3">
      <c r="B102" s="7"/>
      <c r="C102" s="7"/>
    </row>
    <row r="103" spans="2:3" x14ac:dyDescent="0.3">
      <c r="B103" s="7"/>
      <c r="C103" s="7"/>
    </row>
    <row r="104" spans="2:3" x14ac:dyDescent="0.3">
      <c r="B104" s="7"/>
      <c r="C104" s="7"/>
    </row>
    <row r="105" spans="2:3" x14ac:dyDescent="0.3">
      <c r="B105" s="7"/>
      <c r="C105" s="7"/>
    </row>
    <row r="106" spans="2:3" x14ac:dyDescent="0.3">
      <c r="B106" s="7"/>
      <c r="C106" s="7"/>
    </row>
    <row r="107" spans="2:3" x14ac:dyDescent="0.3">
      <c r="B107" s="7"/>
      <c r="C107" s="7"/>
    </row>
    <row r="108" spans="2:3" x14ac:dyDescent="0.3">
      <c r="B108" s="7"/>
      <c r="C108" s="7"/>
    </row>
    <row r="109" spans="2:3" x14ac:dyDescent="0.3">
      <c r="B109" s="7"/>
      <c r="C109" s="7"/>
    </row>
    <row r="110" spans="2:3" x14ac:dyDescent="0.3">
      <c r="B110" s="7"/>
      <c r="C110" s="7"/>
    </row>
    <row r="111" spans="2:3" x14ac:dyDescent="0.3">
      <c r="B111" s="7"/>
      <c r="C111" s="7"/>
    </row>
    <row r="112" spans="2:3" x14ac:dyDescent="0.3">
      <c r="B112" s="7"/>
      <c r="C112" s="7"/>
    </row>
    <row r="113" spans="2:3" x14ac:dyDescent="0.3">
      <c r="B113" s="7"/>
      <c r="C113" s="7"/>
    </row>
    <row r="114" spans="2:3" x14ac:dyDescent="0.3">
      <c r="B114" s="7"/>
      <c r="C114" s="7"/>
    </row>
    <row r="115" spans="2:3" x14ac:dyDescent="0.3">
      <c r="B115" s="7"/>
      <c r="C115" s="7"/>
    </row>
    <row r="116" spans="2:3" x14ac:dyDescent="0.3">
      <c r="B116" s="7"/>
      <c r="C116" s="7"/>
    </row>
    <row r="117" spans="2:3" x14ac:dyDescent="0.3">
      <c r="B117" s="7"/>
      <c r="C117" s="7"/>
    </row>
    <row r="118" spans="2:3" x14ac:dyDescent="0.3">
      <c r="B118" s="7"/>
      <c r="C118" s="7"/>
    </row>
    <row r="119" spans="2:3" x14ac:dyDescent="0.3">
      <c r="B119" s="7"/>
      <c r="C119" s="7"/>
    </row>
    <row r="120" spans="2:3" x14ac:dyDescent="0.3">
      <c r="B120" s="7"/>
      <c r="C120" s="7"/>
    </row>
    <row r="121" spans="2:3" x14ac:dyDescent="0.3">
      <c r="B121" s="7"/>
      <c r="C121" s="7"/>
    </row>
    <row r="122" spans="2:3" x14ac:dyDescent="0.3">
      <c r="B122" s="7"/>
      <c r="C122" s="7"/>
    </row>
    <row r="123" spans="2:3" x14ac:dyDescent="0.3">
      <c r="B123" s="7"/>
      <c r="C123" s="7"/>
    </row>
    <row r="124" spans="2:3" x14ac:dyDescent="0.3">
      <c r="B124" s="7"/>
      <c r="C124" s="7"/>
    </row>
    <row r="125" spans="2:3" x14ac:dyDescent="0.3">
      <c r="B125" s="7"/>
      <c r="C125" s="7"/>
    </row>
    <row r="126" spans="2:3" x14ac:dyDescent="0.3">
      <c r="B126" s="7"/>
      <c r="C126" s="7"/>
    </row>
    <row r="127" spans="2:3" x14ac:dyDescent="0.3">
      <c r="B127" s="7"/>
      <c r="C127" s="7"/>
    </row>
    <row r="128" spans="2:3" x14ac:dyDescent="0.3">
      <c r="B128" s="7"/>
      <c r="C128" s="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7"/>
  <sheetViews>
    <sheetView topLeftCell="A40" workbookViewId="0">
      <selection activeCell="B11" sqref="B11"/>
    </sheetView>
  </sheetViews>
  <sheetFormatPr defaultRowHeight="14.4" x14ac:dyDescent="0.3"/>
  <cols>
    <col min="2" max="2" width="27.77734375" customWidth="1"/>
    <col min="3" max="3" width="26.88671875" customWidth="1"/>
    <col min="5" max="5" width="30.77734375" customWidth="1"/>
    <col min="6" max="6" width="20.33203125" customWidth="1"/>
    <col min="7" max="7" width="23" customWidth="1"/>
  </cols>
  <sheetData>
    <row r="2" spans="2:7" x14ac:dyDescent="0.3"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</row>
    <row r="3" spans="2:7" x14ac:dyDescent="0.3">
      <c r="B3" s="78" t="s">
        <v>52</v>
      </c>
      <c r="C3" s="7" t="s">
        <v>53</v>
      </c>
      <c r="D3" s="7"/>
      <c r="E3" s="7" t="s">
        <v>54</v>
      </c>
      <c r="F3" s="7" t="s">
        <v>55</v>
      </c>
      <c r="G3" s="7" t="s">
        <v>56</v>
      </c>
    </row>
    <row r="4" spans="2:7" x14ac:dyDescent="0.3">
      <c r="B4" s="78" t="s">
        <v>57</v>
      </c>
      <c r="C4" s="7" t="s">
        <v>58</v>
      </c>
      <c r="D4" s="7"/>
      <c r="E4" s="7" t="s">
        <v>59</v>
      </c>
      <c r="F4" s="7" t="s">
        <v>60</v>
      </c>
      <c r="G4" s="7" t="s">
        <v>61</v>
      </c>
    </row>
    <row r="5" spans="2:7" x14ac:dyDescent="0.3">
      <c r="B5" s="7"/>
      <c r="C5" s="7" t="s">
        <v>62</v>
      </c>
      <c r="D5" s="7"/>
      <c r="E5" s="7" t="s">
        <v>63</v>
      </c>
      <c r="F5" s="7" t="s">
        <v>64</v>
      </c>
      <c r="G5" s="7" t="s">
        <v>65</v>
      </c>
    </row>
    <row r="6" spans="2:7" x14ac:dyDescent="0.3">
      <c r="B6" s="78" t="s">
        <v>66</v>
      </c>
      <c r="C6" s="7" t="s">
        <v>67</v>
      </c>
      <c r="D6" s="7"/>
      <c r="E6" s="7" t="s">
        <v>63</v>
      </c>
      <c r="F6" s="7" t="s">
        <v>64</v>
      </c>
      <c r="G6" s="7" t="s">
        <v>65</v>
      </c>
    </row>
    <row r="7" spans="2:7" x14ac:dyDescent="0.3">
      <c r="B7" s="7" t="s">
        <v>68</v>
      </c>
      <c r="C7" s="7" t="s">
        <v>69</v>
      </c>
      <c r="D7" s="7"/>
      <c r="E7" s="7" t="s">
        <v>70</v>
      </c>
      <c r="F7" s="7" t="s">
        <v>71</v>
      </c>
      <c r="G7" s="7" t="s">
        <v>72</v>
      </c>
    </row>
    <row r="8" spans="2:7" x14ac:dyDescent="0.3">
      <c r="B8" s="78" t="s">
        <v>73</v>
      </c>
      <c r="C8" s="7" t="s">
        <v>74</v>
      </c>
      <c r="D8" s="7"/>
      <c r="E8" s="7" t="s">
        <v>75</v>
      </c>
      <c r="F8" s="7" t="s">
        <v>76</v>
      </c>
      <c r="G8" s="7" t="s">
        <v>77</v>
      </c>
    </row>
    <row r="9" spans="2:7" x14ac:dyDescent="0.3">
      <c r="B9" s="78" t="s">
        <v>78</v>
      </c>
      <c r="C9" s="7" t="s">
        <v>79</v>
      </c>
      <c r="D9" s="7"/>
      <c r="E9" s="7" t="s">
        <v>80</v>
      </c>
      <c r="F9" s="7" t="s">
        <v>81</v>
      </c>
      <c r="G9" s="7" t="s">
        <v>82</v>
      </c>
    </row>
    <row r="10" spans="2:7" x14ac:dyDescent="0.3">
      <c r="B10" s="78" t="s">
        <v>83</v>
      </c>
      <c r="C10" s="7" t="s">
        <v>84</v>
      </c>
      <c r="D10" s="7"/>
      <c r="E10" s="7" t="s">
        <v>85</v>
      </c>
      <c r="F10" s="7" t="s">
        <v>76</v>
      </c>
      <c r="G10" s="7" t="s">
        <v>86</v>
      </c>
    </row>
    <row r="11" spans="2:7" x14ac:dyDescent="0.3">
      <c r="B11" s="78" t="s">
        <v>87</v>
      </c>
      <c r="C11" s="7" t="s">
        <v>88</v>
      </c>
      <c r="D11" s="7"/>
      <c r="E11" s="7" t="s">
        <v>89</v>
      </c>
      <c r="F11" s="7" t="s">
        <v>76</v>
      </c>
      <c r="G11" s="7" t="s">
        <v>90</v>
      </c>
    </row>
    <row r="12" spans="2:7" x14ac:dyDescent="0.3">
      <c r="B12" s="78" t="s">
        <v>91</v>
      </c>
      <c r="C12" s="7" t="s">
        <v>92</v>
      </c>
      <c r="D12" s="7"/>
      <c r="E12" s="7" t="s">
        <v>93</v>
      </c>
      <c r="F12" s="7" t="s">
        <v>76</v>
      </c>
      <c r="G12" s="7" t="s">
        <v>94</v>
      </c>
    </row>
    <row r="13" spans="2:7" x14ac:dyDescent="0.3">
      <c r="B13" s="78" t="s">
        <v>95</v>
      </c>
      <c r="C13" s="7" t="s">
        <v>96</v>
      </c>
      <c r="D13" s="7"/>
      <c r="E13" s="7" t="s">
        <v>97</v>
      </c>
      <c r="F13" s="7" t="s">
        <v>98</v>
      </c>
      <c r="G13" s="7" t="s">
        <v>99</v>
      </c>
    </row>
    <row r="14" spans="2:7" x14ac:dyDescent="0.3">
      <c r="B14" s="78" t="s">
        <v>100</v>
      </c>
      <c r="C14" s="7" t="s">
        <v>101</v>
      </c>
      <c r="D14" s="7"/>
      <c r="E14" s="7" t="s">
        <v>102</v>
      </c>
      <c r="F14" s="7" t="s">
        <v>103</v>
      </c>
      <c r="G14" s="7" t="s">
        <v>104</v>
      </c>
    </row>
    <row r="15" spans="2:7" x14ac:dyDescent="0.3">
      <c r="B15" s="78" t="s">
        <v>105</v>
      </c>
      <c r="C15" s="7" t="s">
        <v>106</v>
      </c>
      <c r="D15" s="7"/>
      <c r="E15" s="7" t="s">
        <v>107</v>
      </c>
      <c r="F15" s="7" t="s">
        <v>98</v>
      </c>
      <c r="G15" s="7" t="s">
        <v>108</v>
      </c>
    </row>
    <row r="16" spans="2:7" x14ac:dyDescent="0.3">
      <c r="B16" s="78" t="s">
        <v>109</v>
      </c>
      <c r="C16" s="7" t="s">
        <v>110</v>
      </c>
      <c r="D16" s="7"/>
      <c r="E16" s="7"/>
      <c r="F16" s="7" t="s">
        <v>98</v>
      </c>
      <c r="G16" s="7" t="s">
        <v>111</v>
      </c>
    </row>
    <row r="17" spans="2:7" x14ac:dyDescent="0.3">
      <c r="B17" s="78" t="s">
        <v>112</v>
      </c>
      <c r="C17" s="7" t="s">
        <v>113</v>
      </c>
      <c r="D17" s="7"/>
      <c r="E17" s="7" t="s">
        <v>114</v>
      </c>
      <c r="F17" s="7" t="s">
        <v>115</v>
      </c>
      <c r="G17" s="7" t="s">
        <v>116</v>
      </c>
    </row>
    <row r="18" spans="2:7" x14ac:dyDescent="0.3">
      <c r="B18" s="78" t="s">
        <v>117</v>
      </c>
      <c r="C18" s="7" t="s">
        <v>118</v>
      </c>
      <c r="D18" s="7"/>
      <c r="E18" s="7" t="s">
        <v>119</v>
      </c>
      <c r="F18" s="7" t="s">
        <v>120</v>
      </c>
      <c r="G18" s="7" t="s">
        <v>121</v>
      </c>
    </row>
    <row r="19" spans="2:7" x14ac:dyDescent="0.3">
      <c r="B19" s="78" t="s">
        <v>122</v>
      </c>
      <c r="C19" s="7" t="s">
        <v>123</v>
      </c>
      <c r="D19" s="7" t="s">
        <v>124</v>
      </c>
      <c r="E19" s="7" t="s">
        <v>125</v>
      </c>
      <c r="F19" s="7" t="s">
        <v>126</v>
      </c>
      <c r="G19" s="7" t="s">
        <v>127</v>
      </c>
    </row>
    <row r="20" spans="2:7" x14ac:dyDescent="0.3">
      <c r="B20" s="7" t="s">
        <v>128</v>
      </c>
      <c r="C20" s="7" t="s">
        <v>129</v>
      </c>
      <c r="D20" s="7"/>
      <c r="E20" s="7" t="s">
        <v>130</v>
      </c>
      <c r="F20" s="7" t="s">
        <v>131</v>
      </c>
      <c r="G20" s="7" t="s">
        <v>132</v>
      </c>
    </row>
    <row r="21" spans="2:7" x14ac:dyDescent="0.3">
      <c r="B21" s="78" t="s">
        <v>133</v>
      </c>
      <c r="C21" s="7" t="s">
        <v>134</v>
      </c>
      <c r="D21" s="7"/>
      <c r="E21" s="7"/>
      <c r="F21" s="7" t="s">
        <v>98</v>
      </c>
      <c r="G21" s="7" t="s">
        <v>111</v>
      </c>
    </row>
    <row r="22" spans="2:7" x14ac:dyDescent="0.3">
      <c r="B22" s="78" t="s">
        <v>135</v>
      </c>
      <c r="C22" s="7" t="s">
        <v>136</v>
      </c>
      <c r="D22" s="7"/>
      <c r="E22" s="7" t="s">
        <v>137</v>
      </c>
      <c r="F22" s="7" t="s">
        <v>138</v>
      </c>
      <c r="G22" s="7" t="s">
        <v>139</v>
      </c>
    </row>
    <row r="23" spans="2:7" x14ac:dyDescent="0.3">
      <c r="B23" s="78" t="s">
        <v>140</v>
      </c>
      <c r="C23" s="7" t="s">
        <v>141</v>
      </c>
      <c r="D23" s="7"/>
      <c r="E23" s="7" t="s">
        <v>142</v>
      </c>
      <c r="F23" s="7" t="s">
        <v>76</v>
      </c>
      <c r="G23" s="7" t="s">
        <v>143</v>
      </c>
    </row>
    <row r="24" spans="2:7" x14ac:dyDescent="0.3">
      <c r="B24" s="78" t="s">
        <v>144</v>
      </c>
      <c r="C24" s="7" t="s">
        <v>145</v>
      </c>
      <c r="D24" s="7"/>
      <c r="E24" s="7" t="s">
        <v>146</v>
      </c>
      <c r="F24" s="7" t="s">
        <v>147</v>
      </c>
      <c r="G24" s="7" t="s">
        <v>148</v>
      </c>
    </row>
    <row r="25" spans="2:7" x14ac:dyDescent="0.3">
      <c r="B25" s="78" t="s">
        <v>149</v>
      </c>
      <c r="C25" s="7" t="s">
        <v>150</v>
      </c>
      <c r="D25" s="7"/>
      <c r="E25" s="7" t="s">
        <v>151</v>
      </c>
      <c r="F25" s="7" t="s">
        <v>152</v>
      </c>
      <c r="G25" s="7" t="s">
        <v>153</v>
      </c>
    </row>
    <row r="26" spans="2:7" x14ac:dyDescent="0.3">
      <c r="B26" s="78" t="s">
        <v>154</v>
      </c>
      <c r="C26" s="7" t="s">
        <v>155</v>
      </c>
      <c r="D26" s="7"/>
      <c r="E26" s="7" t="s">
        <v>156</v>
      </c>
      <c r="F26" s="7" t="s">
        <v>35</v>
      </c>
      <c r="G26" s="7" t="s">
        <v>157</v>
      </c>
    </row>
    <row r="27" spans="2:7" x14ac:dyDescent="0.3">
      <c r="B27" s="78" t="s">
        <v>158</v>
      </c>
      <c r="C27" s="7" t="s">
        <v>159</v>
      </c>
      <c r="D27" s="7"/>
      <c r="E27" s="7" t="s">
        <v>160</v>
      </c>
      <c r="F27" s="7" t="s">
        <v>161</v>
      </c>
      <c r="G27" s="7" t="s">
        <v>162</v>
      </c>
    </row>
    <row r="28" spans="2:7" x14ac:dyDescent="0.3">
      <c r="B28" s="78" t="s">
        <v>163</v>
      </c>
      <c r="C28" s="7" t="s">
        <v>164</v>
      </c>
      <c r="D28" s="7"/>
      <c r="E28" s="7" t="s">
        <v>165</v>
      </c>
      <c r="F28" s="7" t="s">
        <v>166</v>
      </c>
      <c r="G28" s="7" t="s">
        <v>167</v>
      </c>
    </row>
    <row r="29" spans="2:7" x14ac:dyDescent="0.3">
      <c r="B29" s="78" t="s">
        <v>168</v>
      </c>
      <c r="C29" s="7" t="s">
        <v>169</v>
      </c>
      <c r="D29" s="7"/>
      <c r="E29" s="7" t="s">
        <v>170</v>
      </c>
      <c r="F29" s="7" t="s">
        <v>98</v>
      </c>
      <c r="G29" s="7" t="s">
        <v>171</v>
      </c>
    </row>
    <row r="30" spans="2:7" x14ac:dyDescent="0.3">
      <c r="B30" s="78" t="s">
        <v>172</v>
      </c>
      <c r="C30" s="7" t="s">
        <v>173</v>
      </c>
      <c r="D30" s="7"/>
      <c r="E30" s="7" t="s">
        <v>174</v>
      </c>
      <c r="F30" s="7" t="s">
        <v>175</v>
      </c>
      <c r="G30" s="7" t="s">
        <v>176</v>
      </c>
    </row>
    <row r="31" spans="2:7" x14ac:dyDescent="0.3">
      <c r="B31" s="78" t="s">
        <v>177</v>
      </c>
      <c r="C31" s="7" t="s">
        <v>178</v>
      </c>
      <c r="D31" s="7"/>
      <c r="E31" s="7" t="s">
        <v>179</v>
      </c>
      <c r="F31" s="7" t="s">
        <v>76</v>
      </c>
      <c r="G31" s="7" t="s">
        <v>180</v>
      </c>
    </row>
    <row r="32" spans="2:7" x14ac:dyDescent="0.3">
      <c r="B32" s="78" t="s">
        <v>181</v>
      </c>
      <c r="C32" s="7" t="s">
        <v>182</v>
      </c>
      <c r="D32" s="7"/>
      <c r="E32" s="7" t="s">
        <v>183</v>
      </c>
      <c r="F32" s="7" t="s">
        <v>81</v>
      </c>
      <c r="G32" s="7" t="s">
        <v>184</v>
      </c>
    </row>
    <row r="33" spans="2:7" x14ac:dyDescent="0.3">
      <c r="B33" s="7" t="s">
        <v>185</v>
      </c>
      <c r="C33" s="7" t="s">
        <v>186</v>
      </c>
      <c r="D33" s="7"/>
      <c r="E33" s="7" t="s">
        <v>187</v>
      </c>
      <c r="F33" s="7" t="s">
        <v>188</v>
      </c>
      <c r="G33" s="7" t="s">
        <v>189</v>
      </c>
    </row>
    <row r="34" spans="2:7" x14ac:dyDescent="0.3">
      <c r="B34" s="78" t="s">
        <v>190</v>
      </c>
      <c r="C34" s="7" t="s">
        <v>191</v>
      </c>
      <c r="D34" s="7"/>
      <c r="E34" s="7" t="s">
        <v>192</v>
      </c>
      <c r="F34" s="7" t="s">
        <v>161</v>
      </c>
      <c r="G34" s="7" t="s">
        <v>193</v>
      </c>
    </row>
    <row r="35" spans="2:7" x14ac:dyDescent="0.3">
      <c r="B35" s="78" t="s">
        <v>194</v>
      </c>
      <c r="C35" s="7" t="s">
        <v>195</v>
      </c>
      <c r="D35" s="7"/>
      <c r="E35" s="7" t="s">
        <v>196</v>
      </c>
      <c r="F35" s="7" t="s">
        <v>197</v>
      </c>
      <c r="G35" s="7" t="s">
        <v>198</v>
      </c>
    </row>
    <row r="36" spans="2:7" x14ac:dyDescent="0.3">
      <c r="B36" s="7" t="s">
        <v>199</v>
      </c>
      <c r="C36" s="7" t="s">
        <v>200</v>
      </c>
      <c r="D36" s="7"/>
      <c r="E36" s="7" t="s">
        <v>201</v>
      </c>
      <c r="F36" s="7" t="s">
        <v>126</v>
      </c>
      <c r="G36" s="7" t="s">
        <v>202</v>
      </c>
    </row>
    <row r="37" spans="2:7" x14ac:dyDescent="0.3">
      <c r="B37" s="7" t="s">
        <v>203</v>
      </c>
      <c r="C37" s="7" t="s">
        <v>204</v>
      </c>
      <c r="D37" s="7"/>
      <c r="E37" s="7" t="s">
        <v>205</v>
      </c>
      <c r="F37" s="7" t="s">
        <v>126</v>
      </c>
      <c r="G37" s="7" t="s">
        <v>206</v>
      </c>
    </row>
    <row r="38" spans="2:7" x14ac:dyDescent="0.3">
      <c r="B38" s="78" t="s">
        <v>207</v>
      </c>
      <c r="C38" s="7" t="s">
        <v>208</v>
      </c>
      <c r="D38" s="7"/>
      <c r="E38" s="7" t="s">
        <v>209</v>
      </c>
      <c r="F38" s="7" t="s">
        <v>210</v>
      </c>
      <c r="G38" s="7" t="s">
        <v>211</v>
      </c>
    </row>
    <row r="39" spans="2:7" x14ac:dyDescent="0.3">
      <c r="B39" s="78" t="s">
        <v>212</v>
      </c>
      <c r="C39" s="7" t="s">
        <v>213</v>
      </c>
      <c r="D39" s="7"/>
      <c r="E39" s="7" t="s">
        <v>214</v>
      </c>
      <c r="F39" s="7" t="s">
        <v>64</v>
      </c>
      <c r="G39" s="7" t="s">
        <v>215</v>
      </c>
    </row>
    <row r="40" spans="2:7" x14ac:dyDescent="0.3">
      <c r="B40" s="78" t="s">
        <v>216</v>
      </c>
      <c r="C40" s="7" t="s">
        <v>217</v>
      </c>
      <c r="D40" s="7"/>
      <c r="E40" s="7" t="s">
        <v>218</v>
      </c>
      <c r="F40" s="7" t="s">
        <v>76</v>
      </c>
      <c r="G40" s="7" t="s">
        <v>219</v>
      </c>
    </row>
    <row r="41" spans="2:7" x14ac:dyDescent="0.3">
      <c r="B41" s="7" t="s">
        <v>220</v>
      </c>
      <c r="C41" s="7" t="s">
        <v>221</v>
      </c>
      <c r="D41" s="7"/>
      <c r="E41" s="7" t="s">
        <v>222</v>
      </c>
      <c r="F41" s="7" t="s">
        <v>223</v>
      </c>
      <c r="G41" s="7" t="s">
        <v>224</v>
      </c>
    </row>
    <row r="42" spans="2:7" x14ac:dyDescent="0.3">
      <c r="B42" s="7" t="s">
        <v>225</v>
      </c>
      <c r="C42" s="7" t="s">
        <v>226</v>
      </c>
      <c r="D42" s="7"/>
      <c r="E42" s="7" t="s">
        <v>227</v>
      </c>
      <c r="F42" s="7" t="s">
        <v>81</v>
      </c>
      <c r="G42" s="7" t="s">
        <v>228</v>
      </c>
    </row>
    <row r="43" spans="2:7" x14ac:dyDescent="0.3">
      <c r="B43" s="78" t="s">
        <v>229</v>
      </c>
      <c r="C43" s="7" t="s">
        <v>230</v>
      </c>
      <c r="D43" s="7"/>
      <c r="E43" s="7" t="s">
        <v>231</v>
      </c>
      <c r="F43" s="7" t="s">
        <v>232</v>
      </c>
      <c r="G43" s="7" t="s">
        <v>233</v>
      </c>
    </row>
    <row r="44" spans="2:7" x14ac:dyDescent="0.3">
      <c r="B44" s="78" t="s">
        <v>234</v>
      </c>
      <c r="C44" s="7" t="s">
        <v>235</v>
      </c>
      <c r="D44" s="7"/>
      <c r="E44" s="7" t="s">
        <v>236</v>
      </c>
      <c r="F44" s="7" t="s">
        <v>188</v>
      </c>
      <c r="G44" s="7" t="s">
        <v>237</v>
      </c>
    </row>
    <row r="45" spans="2:7" x14ac:dyDescent="0.3">
      <c r="B45" s="78" t="s">
        <v>238</v>
      </c>
      <c r="C45" s="7" t="s">
        <v>239</v>
      </c>
      <c r="D45" s="7"/>
      <c r="E45" s="7" t="s">
        <v>240</v>
      </c>
      <c r="F45" s="7" t="s">
        <v>241</v>
      </c>
      <c r="G45" s="7" t="s">
        <v>242</v>
      </c>
    </row>
    <row r="46" spans="2:7" x14ac:dyDescent="0.3">
      <c r="B46" s="78" t="s">
        <v>243</v>
      </c>
      <c r="C46" s="7" t="s">
        <v>244</v>
      </c>
      <c r="D46" s="7"/>
      <c r="E46" s="7" t="s">
        <v>245</v>
      </c>
      <c r="F46" s="7" t="s">
        <v>246</v>
      </c>
      <c r="G46" s="7" t="s">
        <v>247</v>
      </c>
    </row>
    <row r="47" spans="2:7" x14ac:dyDescent="0.3">
      <c r="B47" s="7"/>
      <c r="C47" s="7"/>
      <c r="D47" s="7"/>
      <c r="E47" s="7"/>
      <c r="F47" s="7"/>
      <c r="G47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46"/>
  <sheetViews>
    <sheetView view="pageLayout" zoomScaleNormal="100" workbookViewId="0">
      <selection activeCell="B24" sqref="B24:E24"/>
    </sheetView>
  </sheetViews>
  <sheetFormatPr defaultColWidth="8.88671875" defaultRowHeight="14.4" x14ac:dyDescent="0.3"/>
  <cols>
    <col min="1" max="1" width="6" style="1" customWidth="1"/>
    <col min="2" max="4" width="8.88671875" style="1"/>
    <col min="5" max="5" width="9.44140625" style="1" customWidth="1"/>
    <col min="6" max="9" width="11.21875" style="1" customWidth="1"/>
    <col min="10" max="16384" width="8.88671875" style="1"/>
  </cols>
  <sheetData>
    <row r="1" spans="1:9" x14ac:dyDescent="0.3">
      <c r="A1" s="97"/>
      <c r="B1" s="97"/>
      <c r="C1" s="97"/>
      <c r="D1" s="97"/>
      <c r="E1" s="97"/>
      <c r="F1" s="97" t="s">
        <v>6</v>
      </c>
      <c r="G1" s="97"/>
      <c r="H1" s="97" t="s">
        <v>7</v>
      </c>
      <c r="I1" s="97"/>
    </row>
    <row r="2" spans="1:9" x14ac:dyDescent="0.3">
      <c r="A2" s="97"/>
      <c r="B2" s="97"/>
      <c r="C2" s="97"/>
      <c r="D2" s="97"/>
      <c r="E2" s="97"/>
      <c r="F2" s="97"/>
      <c r="G2" s="97"/>
      <c r="H2" s="97"/>
      <c r="I2" s="97"/>
    </row>
    <row r="3" spans="1:9" x14ac:dyDescent="0.3">
      <c r="A3" s="97"/>
      <c r="B3" s="97"/>
      <c r="C3" s="97"/>
      <c r="D3" s="97"/>
      <c r="E3" s="97"/>
      <c r="F3" s="97" t="s">
        <v>8</v>
      </c>
      <c r="G3" s="97"/>
      <c r="H3" s="97" t="s">
        <v>9</v>
      </c>
      <c r="I3" s="97"/>
    </row>
    <row r="4" spans="1:9" x14ac:dyDescent="0.3">
      <c r="A4" s="97"/>
      <c r="B4" s="97"/>
      <c r="C4" s="97"/>
      <c r="D4" s="97"/>
      <c r="E4" s="97"/>
      <c r="F4" s="97"/>
      <c r="G4" s="97"/>
      <c r="H4" s="97"/>
      <c r="I4" s="97"/>
    </row>
    <row r="5" spans="1:9" x14ac:dyDescent="0.3">
      <c r="A5" s="98" t="s">
        <v>17</v>
      </c>
      <c r="B5" s="98"/>
      <c r="C5" s="98"/>
      <c r="D5" s="98"/>
      <c r="E5" s="98"/>
      <c r="F5" s="97" t="s">
        <v>19</v>
      </c>
      <c r="G5" s="97"/>
      <c r="H5" s="97" t="s">
        <v>10</v>
      </c>
      <c r="I5" s="97"/>
    </row>
    <row r="6" spans="1:9" x14ac:dyDescent="0.3">
      <c r="A6" s="98"/>
      <c r="B6" s="98"/>
      <c r="C6" s="98"/>
      <c r="D6" s="98"/>
      <c r="E6" s="98"/>
      <c r="F6" s="97"/>
      <c r="G6" s="97"/>
      <c r="H6" s="97"/>
      <c r="I6" s="97"/>
    </row>
    <row r="7" spans="1:9" x14ac:dyDescent="0.3">
      <c r="A7" s="98"/>
      <c r="B7" s="98"/>
      <c r="C7" s="98"/>
      <c r="D7" s="98"/>
      <c r="E7" s="98"/>
      <c r="F7" s="101" t="s">
        <v>11</v>
      </c>
      <c r="G7" s="97"/>
      <c r="H7" s="97" t="s">
        <v>7</v>
      </c>
      <c r="I7" s="97"/>
    </row>
    <row r="8" spans="1:9" x14ac:dyDescent="0.3">
      <c r="A8" s="98"/>
      <c r="B8" s="98"/>
      <c r="C8" s="98"/>
      <c r="D8" s="98"/>
      <c r="E8" s="98"/>
      <c r="F8" s="97"/>
      <c r="G8" s="97"/>
      <c r="H8" s="97"/>
      <c r="I8" s="97"/>
    </row>
    <row r="9" spans="1:9" x14ac:dyDescent="0.3">
      <c r="A9" s="98"/>
      <c r="B9" s="98"/>
      <c r="C9" s="98"/>
      <c r="D9" s="98"/>
      <c r="E9" s="98"/>
      <c r="F9" s="97" t="s">
        <v>12</v>
      </c>
      <c r="G9" s="97"/>
      <c r="H9" s="97" t="s">
        <v>13</v>
      </c>
      <c r="I9" s="97"/>
    </row>
    <row r="10" spans="1:9" x14ac:dyDescent="0.3">
      <c r="A10" s="98"/>
      <c r="B10" s="98"/>
      <c r="C10" s="98"/>
      <c r="D10" s="98"/>
      <c r="E10" s="98"/>
      <c r="F10" s="97"/>
      <c r="G10" s="97"/>
      <c r="H10" s="97"/>
      <c r="I10" s="97"/>
    </row>
    <row r="11" spans="1:9" x14ac:dyDescent="0.3">
      <c r="A11" s="98"/>
      <c r="B11" s="98"/>
      <c r="C11" s="98"/>
      <c r="D11" s="98"/>
      <c r="E11" s="98"/>
      <c r="F11" s="97" t="s">
        <v>14</v>
      </c>
      <c r="G11" s="97"/>
      <c r="H11" s="97" t="s">
        <v>15</v>
      </c>
      <c r="I11" s="97"/>
    </row>
    <row r="12" spans="1:9" x14ac:dyDescent="0.3">
      <c r="A12" s="98"/>
      <c r="B12" s="98"/>
      <c r="C12" s="98"/>
      <c r="D12" s="98"/>
      <c r="E12" s="98"/>
      <c r="F12" s="97"/>
      <c r="G12" s="97"/>
      <c r="H12" s="97"/>
      <c r="I12" s="97"/>
    </row>
    <row r="13" spans="1:9" x14ac:dyDescent="0.3">
      <c r="A13" s="98"/>
      <c r="B13" s="98"/>
      <c r="C13" s="98"/>
      <c r="D13" s="98"/>
      <c r="E13" s="98"/>
      <c r="F13" s="97" t="s">
        <v>16</v>
      </c>
      <c r="G13" s="97"/>
      <c r="H13" s="97"/>
      <c r="I13" s="97"/>
    </row>
    <row r="14" spans="1:9" x14ac:dyDescent="0.3">
      <c r="A14" s="98"/>
      <c r="B14" s="98"/>
      <c r="C14" s="98"/>
      <c r="D14" s="98"/>
      <c r="E14" s="98"/>
      <c r="F14" s="97"/>
      <c r="G14" s="97"/>
      <c r="H14" s="97"/>
      <c r="I14" s="97"/>
    </row>
    <row r="15" spans="1:9" x14ac:dyDescent="0.3">
      <c r="A15" s="98"/>
      <c r="B15" s="98"/>
      <c r="C15" s="98"/>
      <c r="D15" s="98"/>
      <c r="E15" s="98"/>
      <c r="F15" s="97"/>
      <c r="G15" s="97"/>
      <c r="H15" s="97"/>
      <c r="I15" s="97"/>
    </row>
    <row r="16" spans="1:9" x14ac:dyDescent="0.3">
      <c r="A16" s="98"/>
      <c r="B16" s="98"/>
      <c r="C16" s="98"/>
      <c r="D16" s="98"/>
      <c r="E16" s="98"/>
      <c r="F16" s="97"/>
      <c r="G16" s="97"/>
      <c r="H16" s="97"/>
      <c r="I16" s="97"/>
    </row>
    <row r="17" spans="1:9" x14ac:dyDescent="0.3">
      <c r="A17" s="98"/>
      <c r="B17" s="98"/>
      <c r="C17" s="98"/>
      <c r="D17" s="98"/>
      <c r="E17" s="98"/>
      <c r="F17" s="97"/>
      <c r="G17" s="97"/>
      <c r="H17" s="97"/>
      <c r="I17" s="97"/>
    </row>
    <row r="18" spans="1:9" x14ac:dyDescent="0.3">
      <c r="A18" s="98"/>
      <c r="B18" s="98"/>
      <c r="C18" s="98"/>
      <c r="D18" s="98"/>
      <c r="E18" s="98"/>
      <c r="F18" s="97"/>
      <c r="G18" s="97"/>
      <c r="H18" s="97"/>
      <c r="I18" s="97"/>
    </row>
    <row r="19" spans="1:9" s="2" customFormat="1" ht="21" customHeight="1" x14ac:dyDescent="0.3">
      <c r="A19" s="3" t="s">
        <v>0</v>
      </c>
      <c r="B19" s="99" t="s">
        <v>1</v>
      </c>
      <c r="C19" s="99"/>
      <c r="D19" s="99"/>
      <c r="E19" s="99"/>
      <c r="F19" s="3" t="s">
        <v>2</v>
      </c>
      <c r="G19" s="3" t="s">
        <v>3</v>
      </c>
      <c r="H19" s="3" t="s">
        <v>4</v>
      </c>
      <c r="I19" s="3" t="s">
        <v>5</v>
      </c>
    </row>
    <row r="20" spans="1:9" x14ac:dyDescent="0.3">
      <c r="A20" s="4"/>
      <c r="B20" s="102"/>
      <c r="C20" s="102"/>
      <c r="D20" s="102"/>
      <c r="E20" s="102"/>
      <c r="F20" s="4"/>
      <c r="G20" s="4"/>
      <c r="H20" s="4"/>
      <c r="I20" s="4"/>
    </row>
    <row r="21" spans="1:9" x14ac:dyDescent="0.3">
      <c r="A21" s="4"/>
      <c r="B21" s="100"/>
      <c r="C21" s="100"/>
      <c r="D21" s="100"/>
      <c r="E21" s="100"/>
      <c r="F21" s="4"/>
      <c r="G21" s="4"/>
      <c r="H21" s="4"/>
      <c r="I21" s="4"/>
    </row>
    <row r="22" spans="1:9" x14ac:dyDescent="0.3">
      <c r="A22" s="4"/>
      <c r="B22" s="100"/>
      <c r="C22" s="100"/>
      <c r="D22" s="100"/>
      <c r="E22" s="100"/>
      <c r="F22" s="4"/>
      <c r="G22" s="4"/>
      <c r="H22" s="4"/>
      <c r="I22" s="4"/>
    </row>
    <row r="23" spans="1:9" x14ac:dyDescent="0.3">
      <c r="A23" s="4"/>
      <c r="B23" s="100"/>
      <c r="C23" s="100"/>
      <c r="D23" s="100"/>
      <c r="E23" s="100"/>
      <c r="F23" s="4"/>
      <c r="G23" s="4"/>
      <c r="H23" s="4"/>
      <c r="I23" s="4"/>
    </row>
    <row r="24" spans="1:9" x14ac:dyDescent="0.3">
      <c r="A24" s="4"/>
      <c r="B24" s="100"/>
      <c r="C24" s="100"/>
      <c r="D24" s="100"/>
      <c r="E24" s="100"/>
      <c r="F24" s="4"/>
      <c r="G24" s="4"/>
      <c r="H24" s="4"/>
      <c r="I24" s="4"/>
    </row>
    <row r="25" spans="1:9" x14ac:dyDescent="0.3">
      <c r="A25" s="4"/>
      <c r="B25" s="100"/>
      <c r="C25" s="100"/>
      <c r="D25" s="100"/>
      <c r="E25" s="100"/>
      <c r="F25" s="4"/>
      <c r="G25" s="4"/>
      <c r="H25" s="4"/>
      <c r="I25" s="4"/>
    </row>
    <row r="26" spans="1:9" x14ac:dyDescent="0.3">
      <c r="A26" s="4"/>
      <c r="B26" s="100"/>
      <c r="C26" s="100"/>
      <c r="D26" s="100"/>
      <c r="E26" s="100"/>
      <c r="F26" s="4"/>
      <c r="G26" s="4"/>
      <c r="H26" s="4"/>
      <c r="I26" s="4"/>
    </row>
    <row r="27" spans="1:9" x14ac:dyDescent="0.3">
      <c r="A27" s="4"/>
      <c r="B27" s="100"/>
      <c r="C27" s="100"/>
      <c r="D27" s="100"/>
      <c r="E27" s="100"/>
      <c r="F27" s="4"/>
      <c r="G27" s="4"/>
      <c r="H27" s="4"/>
      <c r="I27" s="4"/>
    </row>
    <row r="28" spans="1:9" x14ac:dyDescent="0.3">
      <c r="A28" s="4"/>
      <c r="B28" s="100"/>
      <c r="C28" s="100"/>
      <c r="D28" s="100"/>
      <c r="E28" s="100"/>
      <c r="F28" s="4"/>
      <c r="G28" s="4"/>
      <c r="H28" s="4"/>
      <c r="I28" s="4"/>
    </row>
    <row r="29" spans="1:9" x14ac:dyDescent="0.3">
      <c r="A29" s="4"/>
      <c r="B29" s="100"/>
      <c r="C29" s="100"/>
      <c r="D29" s="100"/>
      <c r="E29" s="100"/>
      <c r="F29" s="4"/>
      <c r="G29" s="4"/>
      <c r="H29" s="4"/>
      <c r="I29" s="4"/>
    </row>
    <row r="30" spans="1:9" x14ac:dyDescent="0.3">
      <c r="A30" s="4"/>
      <c r="B30" s="100"/>
      <c r="C30" s="100"/>
      <c r="D30" s="100"/>
      <c r="E30" s="100"/>
      <c r="F30" s="4"/>
      <c r="G30" s="4"/>
      <c r="H30" s="4"/>
      <c r="I30" s="4"/>
    </row>
    <row r="31" spans="1:9" x14ac:dyDescent="0.3">
      <c r="A31" s="4"/>
      <c r="B31" s="100"/>
      <c r="C31" s="100"/>
      <c r="D31" s="100"/>
      <c r="E31" s="100"/>
      <c r="F31" s="4"/>
      <c r="G31" s="4"/>
      <c r="H31" s="4"/>
      <c r="I31" s="4"/>
    </row>
    <row r="32" spans="1:9" x14ac:dyDescent="0.3">
      <c r="A32" s="4"/>
      <c r="B32" s="100"/>
      <c r="C32" s="100"/>
      <c r="D32" s="100"/>
      <c r="E32" s="100"/>
      <c r="F32" s="4"/>
      <c r="G32" s="4"/>
      <c r="H32" s="4"/>
      <c r="I32" s="4"/>
    </row>
    <row r="33" spans="1:9" x14ac:dyDescent="0.3">
      <c r="A33" s="4"/>
      <c r="B33" s="100"/>
      <c r="C33" s="100"/>
      <c r="D33" s="100"/>
      <c r="E33" s="100"/>
      <c r="F33" s="4"/>
      <c r="G33" s="4"/>
      <c r="H33" s="4"/>
      <c r="I33" s="4"/>
    </row>
    <row r="34" spans="1:9" x14ac:dyDescent="0.3">
      <c r="A34" s="4"/>
      <c r="B34" s="100"/>
      <c r="C34" s="100"/>
      <c r="D34" s="100"/>
      <c r="E34" s="100"/>
      <c r="F34" s="4"/>
      <c r="G34" s="4"/>
      <c r="H34" s="4"/>
      <c r="I34" s="4"/>
    </row>
    <row r="35" spans="1:9" x14ac:dyDescent="0.3">
      <c r="A35" s="4"/>
      <c r="B35" s="100"/>
      <c r="C35" s="100"/>
      <c r="D35" s="100"/>
      <c r="E35" s="100"/>
      <c r="F35" s="4"/>
      <c r="G35" s="4"/>
      <c r="H35" s="4"/>
      <c r="I35" s="4"/>
    </row>
    <row r="36" spans="1:9" x14ac:dyDescent="0.3">
      <c r="A36" s="4"/>
      <c r="B36" s="100"/>
      <c r="C36" s="100"/>
      <c r="D36" s="100"/>
      <c r="E36" s="100"/>
      <c r="F36" s="4"/>
      <c r="G36" s="4"/>
      <c r="H36" s="4"/>
      <c r="I36" s="4"/>
    </row>
    <row r="37" spans="1:9" x14ac:dyDescent="0.3">
      <c r="A37" s="4"/>
      <c r="B37" s="100"/>
      <c r="C37" s="100"/>
      <c r="D37" s="100"/>
      <c r="E37" s="100"/>
      <c r="F37" s="4"/>
      <c r="G37" s="4"/>
      <c r="H37" s="4"/>
      <c r="I37" s="4"/>
    </row>
    <row r="38" spans="1:9" x14ac:dyDescent="0.3">
      <c r="A38" s="4"/>
      <c r="B38" s="100"/>
      <c r="C38" s="100"/>
      <c r="D38" s="100"/>
      <c r="E38" s="100"/>
      <c r="F38" s="4"/>
      <c r="G38" s="4"/>
      <c r="H38" s="4"/>
      <c r="I38" s="4"/>
    </row>
    <row r="39" spans="1:9" x14ac:dyDescent="0.3">
      <c r="A39" s="4"/>
      <c r="B39" s="100"/>
      <c r="C39" s="100"/>
      <c r="D39" s="100"/>
      <c r="E39" s="100"/>
      <c r="F39" s="4"/>
      <c r="G39" s="4"/>
      <c r="H39" s="4"/>
      <c r="I39" s="4"/>
    </row>
    <row r="40" spans="1:9" x14ac:dyDescent="0.3">
      <c r="A40" s="4"/>
      <c r="B40" s="103" t="s">
        <v>18</v>
      </c>
      <c r="C40" s="103"/>
      <c r="D40" s="103"/>
      <c r="E40" s="103"/>
      <c r="F40" s="4"/>
      <c r="G40" s="4"/>
      <c r="H40" s="4"/>
      <c r="I40" s="4"/>
    </row>
    <row r="41" spans="1:9" x14ac:dyDescent="0.3">
      <c r="A41" s="100"/>
      <c r="B41" s="100"/>
      <c r="C41" s="100"/>
      <c r="D41" s="100"/>
      <c r="E41" s="100"/>
      <c r="F41" s="100"/>
      <c r="G41" s="100"/>
      <c r="H41" s="100"/>
      <c r="I41" s="100"/>
    </row>
    <row r="42" spans="1:9" x14ac:dyDescent="0.3">
      <c r="A42" s="100"/>
      <c r="B42" s="100"/>
      <c r="C42" s="100"/>
      <c r="D42" s="100"/>
      <c r="E42" s="100"/>
      <c r="F42" s="100"/>
      <c r="G42" s="100"/>
      <c r="H42" s="100"/>
      <c r="I42" s="100"/>
    </row>
    <row r="43" spans="1:9" x14ac:dyDescent="0.3">
      <c r="A43" s="100"/>
      <c r="B43" s="100"/>
      <c r="C43" s="100"/>
      <c r="D43" s="100"/>
      <c r="E43" s="100"/>
      <c r="F43" s="102"/>
      <c r="G43" s="102"/>
      <c r="H43" s="102"/>
      <c r="I43" s="102"/>
    </row>
    <row r="44" spans="1:9" x14ac:dyDescent="0.3">
      <c r="A44" s="100"/>
      <c r="B44" s="100"/>
      <c r="C44" s="100"/>
      <c r="D44" s="100"/>
      <c r="E44" s="100"/>
      <c r="F44" s="102"/>
      <c r="G44" s="102"/>
      <c r="H44" s="102"/>
      <c r="I44" s="102"/>
    </row>
    <row r="45" spans="1:9" x14ac:dyDescent="0.3">
      <c r="A45" s="100"/>
      <c r="B45" s="100"/>
      <c r="C45" s="100"/>
      <c r="D45" s="100"/>
      <c r="E45" s="100"/>
      <c r="F45" s="102"/>
      <c r="G45" s="102"/>
      <c r="H45" s="102"/>
      <c r="I45" s="102"/>
    </row>
    <row r="46" spans="1:9" x14ac:dyDescent="0.3">
      <c r="A46" s="100"/>
      <c r="B46" s="100"/>
      <c r="C46" s="100"/>
      <c r="D46" s="100"/>
      <c r="E46" s="100"/>
      <c r="F46" s="102"/>
      <c r="G46" s="102"/>
      <c r="H46" s="102"/>
      <c r="I46" s="102"/>
    </row>
  </sheetData>
  <mergeCells count="40">
    <mergeCell ref="B38:E38"/>
    <mergeCell ref="B39:E39"/>
    <mergeCell ref="B40:E40"/>
    <mergeCell ref="B32:E32"/>
    <mergeCell ref="B33:E33"/>
    <mergeCell ref="B34:E34"/>
    <mergeCell ref="B35:E35"/>
    <mergeCell ref="B36:E36"/>
    <mergeCell ref="B37:E37"/>
    <mergeCell ref="B26:E26"/>
    <mergeCell ref="B27:E27"/>
    <mergeCell ref="B28:E28"/>
    <mergeCell ref="B29:E29"/>
    <mergeCell ref="B30:E30"/>
    <mergeCell ref="B21:E21"/>
    <mergeCell ref="B22:E22"/>
    <mergeCell ref="B23:E23"/>
    <mergeCell ref="B24:E24"/>
    <mergeCell ref="B25:E25"/>
    <mergeCell ref="F5:G6"/>
    <mergeCell ref="H5:I6"/>
    <mergeCell ref="A5:E18"/>
    <mergeCell ref="B19:E19"/>
    <mergeCell ref="A41:E46"/>
    <mergeCell ref="F41:I42"/>
    <mergeCell ref="F9:G10"/>
    <mergeCell ref="F11:G12"/>
    <mergeCell ref="H7:I8"/>
    <mergeCell ref="H9:I10"/>
    <mergeCell ref="H11:I12"/>
    <mergeCell ref="F13:I18"/>
    <mergeCell ref="F7:G8"/>
    <mergeCell ref="B31:E31"/>
    <mergeCell ref="F43:I46"/>
    <mergeCell ref="B20:E20"/>
    <mergeCell ref="A1:E4"/>
    <mergeCell ref="F1:G2"/>
    <mergeCell ref="H1:I2"/>
    <mergeCell ref="F3:G4"/>
    <mergeCell ref="H3:I4"/>
  </mergeCells>
  <pageMargins left="0.7" right="0.7" top="0.75" bottom="0.75" header="0.3" footer="0.3"/>
  <pageSetup orientation="portrait" r:id="rId1"/>
  <headerFooter>
    <oddHeader>&amp;C&amp;14INVOICE</oddHeader>
    <oddFooter>&amp;CThis is a Computer Generated Invoice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Invoice Template</vt:lpstr>
      <vt:lpstr>Pricing List</vt:lpstr>
      <vt:lpstr>Address Book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 PACKAGINGES</dc:creator>
  <cp:keywords>Invoice Template</cp:keywords>
  <cp:lastModifiedBy>APT PACKAGINGES</cp:lastModifiedBy>
  <cp:lastPrinted>2025-05-03T09:54:38Z</cp:lastPrinted>
  <dcterms:created xsi:type="dcterms:W3CDTF">2022-05-17T05:28:33Z</dcterms:created>
  <dcterms:modified xsi:type="dcterms:W3CDTF">2025-05-03T10:46:50Z</dcterms:modified>
</cp:coreProperties>
</file>